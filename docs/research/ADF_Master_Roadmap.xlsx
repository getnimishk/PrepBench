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DF Master Roadmap" sheetId="1" state="visible" r:id="rId1"/>
    <sheet name="Journey Progress Tracker" sheetId="2" state="visible" r:id="rId2"/>
    <sheet name="Architecture &amp; Decision Model" sheetId="3" state="visible" r:id="rId3"/>
    <sheet name="Portfolio &amp; Scenarios" sheetId="4" state="visible" r:id="rId4"/>
    <sheet name="Suggested Resources" sheetId="5" state="visible" r:id="rId5"/>
    <sheet name="Mental Model" sheetId="6" state="visible" r:id="rId6"/>
    <sheet name="Study Guide Crosswalk" sheetId="7" state="visible" r:id="rId7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1F2937"/>
      <sz val="11"/>
    </font>
    <font>
      <name val="Carlito"/>
      <color rgb="FF1F2937"/>
      <sz val="11"/>
    </font>
    <font>
      <name val="Carlito"/>
      <b val="1"/>
      <color rgb="FFFFFFFF"/>
      <sz val="11"/>
    </font>
    <font>
      <name val="Carlito"/>
      <b val="1"/>
      <sz val="11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EEF4FB"/>
      </patternFill>
    </fill>
    <fill>
      <patternFill patternType="solid">
        <fgColor rgb="FFFCE4D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C55A11"/>
      </patternFill>
    </fill>
  </fills>
  <borders count="2">
    <border/>
    <border/>
  </borders>
  <cellStyleXfs count="1">
    <xf numFmtId="0" fontId="0" fillId="0" borderId="1"/>
  </cellStyleXfs>
  <cellXfs count="10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center" wrapText="1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pivotButton="0" quotePrefix="0" xfId="0"/>
    <xf numFmtId="0" fontId="4" fillId="2" borderId="1" applyAlignment="1" pivotButton="0" quotePrefix="0" xfId="0">
      <alignment wrapText="1"/>
    </xf>
    <xf numFmtId="0" fontId="4" fillId="2" borderId="1" applyAlignment="1" pivotButton="0" quotePrefix="0" xfId="0">
      <alignment horizont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" fontId="0" fillId="5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wrapText="1"/>
    </xf>
    <xf numFmtId="0" fontId="4" fillId="6" borderId="0" applyAlignment="1" pivotButton="0" quotePrefix="0" xfId="0">
      <alignment horizontal="left" wrapText="1"/>
    </xf>
    <xf numFmtId="0" fontId="4" fillId="6" borderId="0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wrapText="1"/>
    </xf>
    <xf numFmtId="0" fontId="4" fillId="6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left" vertical="center" wrapText="1"/>
    </xf>
    <xf numFmtId="0" fontId="5" fillId="3" borderId="0" pivotButton="0" quotePrefix="0" xfId="0"/>
    <xf numFmtId="0" fontId="5" fillId="3" borderId="0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5" fillId="3" borderId="0" applyAlignment="1" pivotButton="0" quotePrefix="0" xfId="0">
      <alignment wrapText="1"/>
    </xf>
    <xf numFmtId="0" fontId="5" fillId="3" borderId="0" applyAlignment="1" pivotButton="0" quotePrefix="0" xfId="0">
      <alignment horizontal="center" wrapText="1"/>
    </xf>
    <xf numFmtId="0" fontId="5" fillId="3" borderId="1" applyAlignment="1" pivotButton="0" quotePrefix="0" xfId="0">
      <alignment wrapText="1"/>
    </xf>
    <xf numFmtId="0" fontId="5" fillId="3" borderId="1" applyAlignment="1" pivotButton="0" quotePrefix="0" xfId="0">
      <alignment horizontal="center" wrapText="1"/>
    </xf>
    <xf numFmtId="9" fontId="5" fillId="3" borderId="0" applyAlignment="1" pivotButton="0" quotePrefix="0" xfId="0">
      <alignment horizontal="center" wrapText="1"/>
    </xf>
    <xf numFmtId="9" fontId="5" fillId="3" borderId="1" applyAlignment="1" pivotButton="0" quotePrefix="0" xfId="0">
      <alignment horizontal="center" wrapText="1"/>
    </xf>
    <xf numFmtId="9" fontId="0" fillId="0" borderId="0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9" fontId="0" fillId="0" borderId="0" pivotButton="0" quotePrefix="0" xfId="0"/>
    <xf numFmtId="9" fontId="0" fillId="0" borderId="1" pivotButton="0" quotePrefix="0" xfId="0"/>
    <xf numFmtId="9" fontId="0" fillId="0" borderId="0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0" borderId="0" pivotButton="0" quotePrefix="0" xfId="0"/>
    <xf numFmtId="0" fontId="0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4" fillId="7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4" fillId="8" borderId="0" pivotButton="0" quotePrefix="0" xfId="0"/>
    <xf numFmtId="0" fontId="0" fillId="9" borderId="0" pivotButton="0" quotePrefix="0" xfId="0"/>
    <xf numFmtId="0" fontId="4" fillId="9" borderId="0" pivotButton="0" quotePrefix="0" xfId="0"/>
    <xf numFmtId="1" fontId="0" fillId="5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9" fontId="5" fillId="3" borderId="0" applyAlignment="1" pivotButton="0" quotePrefix="0" xfId="0">
      <alignment horizontal="center" wrapText="1"/>
    </xf>
    <xf numFmtId="9" fontId="0" fillId="0" borderId="0" applyAlignment="1" pivotButton="0" quotePrefix="0" xfId="0">
      <alignment wrapText="1"/>
    </xf>
    <xf numFmtId="9" fontId="0" fillId="0" borderId="0" applyAlignment="1" pivotButton="0" quotePrefix="0" xfId="0">
      <alignment vertical="top" wrapText="1"/>
    </xf>
  </cellXfs>
  <cellStyles count="1">
    <cellStyle name="Normal" xfId="0"/>
  </cellStyles>
  <dxfs count="6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ont>
        <color rgb="FF2F5D2F"/>
      </font>
      <fill>
        <patternFill patternType="solid">
          <bgColor rgb="FFE2F0D9"/>
        </patternFill>
      </fill>
    </dxf>
    <dxf>
      <font>
        <color rgb="FF7F6000"/>
      </font>
      <fill>
        <patternFill patternType="solid"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Average Progress by Phase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Topics</v>
          </tx>
          <spPr>
            <a:ln>
              <a:prstDash val="solid"/>
            </a:ln>
          </spPr>
          <cat>
            <strRef>
              <f>'Journey Progress Tracker'!$J$3:$J$14</f>
              <strCache>
                <ptCount val="0"/>
              </strCache>
            </strRef>
          </cat>
          <val>
            <numRef>
              <f>'Journey Progress Tracker'!$K$3:$K$14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Completed</v>
          </tx>
          <spPr>
            <a:ln>
              <a:prstDash val="solid"/>
            </a:ln>
          </spPr>
          <cat>
            <strRef>
              <f>'Journey Progress Tracker'!$J$3:$J$14</f>
              <strCache>
                <ptCount val="0"/>
              </strCache>
            </strRef>
          </cat>
          <val>
            <numRef>
              <f>'Journey Progress Tracker'!$L$3:$L$14</f>
              <numCache>
                <formatCode>General</formatCode>
                <ptCount val="0"/>
              </numCache>
            </numRef>
          </val>
        </ser>
        <ser>
          <idx val="2"/>
          <order val="2"/>
          <tx>
            <v>In Progress</v>
          </tx>
          <spPr>
            <a:ln>
              <a:prstDash val="solid"/>
            </a:ln>
          </spPr>
          <cat>
            <strRef>
              <f>'Journey Progress Tracker'!$J$3:$J$14</f>
              <strCache>
                <ptCount val="0"/>
              </strCache>
            </strRef>
          </cat>
          <val>
            <numRef>
              <f>'Journey Progress Tracker'!$M$3:$M$14</f>
              <numCache>
                <formatCode>General</formatCode>
                <ptCount val="0"/>
              </numCache>
            </numRef>
          </val>
        </ser>
        <ser>
          <idx val="3"/>
          <order val="3"/>
          <tx>
            <v>Avg Progress</v>
          </tx>
          <spPr>
            <a:ln>
              <a:prstDash val="solid"/>
            </a:ln>
          </spPr>
          <cat>
            <strRef>
              <f>'Journey Progress Tracker'!$J$3:$J$14</f>
              <strCache>
                <ptCount val="0"/>
              </strCache>
            </strRef>
          </cat>
          <val>
            <numRef>
              <f>'Journey Progress Tracker'!$N$3:$N$14</f>
              <numCache>
                <formatCode>0%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9</col>
      <colOff>0</colOff>
      <row>16</row>
      <rowOff>0</rowOff>
    </from>
    <to>
      <col>17</col>
      <colOff>0</colOff>
      <row>35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ADFRoadmapTable" displayName="ADFRoadmapTable" ref="A5:J65" headerRowCount="1" totalsRowCount="0" totalsRowShown="0">
  <tableColumns count="10">
    <tableColumn id="1" name="Phase"/>
    <tableColumn id="2" name="Topic #"/>
    <tableColumn id="3" name="Topic"/>
    <tableColumn id="4" name="Learning Objective"/>
    <tableColumn id="5" name="Success Criteria"/>
    <tableColumn id="6" name="Est. Hours"/>
    <tableColumn id="7" name="Evidence / Lab"/>
    <tableColumn id="8" name="Course Area"/>
    <tableColumn id="9" name="Primary Source"/>
    <tableColumn id="10" name="Prior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FProgressTable" displayName="ADFProgressTable" ref="A5:H65" headerRowCount="1" totalsRowCount="0" totalsRowShown="0">
  <tableColumns count="8">
    <tableColumn id="1" name="#"/>
    <tableColumn id="2" name="Topic"/>
    <tableColumn id="3" name="Phase"/>
    <tableColumn id="4" name="Status"/>
    <tableColumn id="5" name="Progress %"/>
    <tableColumn id="6" name="Est. Hours"/>
    <tableColumn id="7" name="Start Date"/>
    <tableColumn id="8" name="Completion 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DFDecisionTable" displayName="ADFDecisionTable" ref="A3:E16" headerRowCount="1" totalsRowCount="0" totalsRowShown="0">
  <tableColumns count="5">
    <tableColumn id="1" name="Decision Area"/>
    <tableColumn id="2" name="Use ADF When..."/>
    <tableColumn id="3" name="Consider Instead / Alongside"/>
    <tableColumn id="4" name="Key Trade-off"/>
    <tableColumn id="5" name="Interview Fram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DFPortfolioTable" displayName="ADFPortfolioTable" ref="A3:F13" headerRowCount="1" totalsRowCount="0" totalsRowShown="0">
  <tableColumns count="6">
    <tableColumn id="1" name="Artifact / Scenario"/>
    <tableColumn id="2" name="What It Demonstrates"/>
    <tableColumn id="3" name="Target Role Fit"/>
    <tableColumn id="4" name="Est. Hours"/>
    <tableColumn id="5" name="Output"/>
    <tableColumn id="6" name="Priorit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DFResourcesTable" displayName="ADFResourcesTable" ref="A4:E24" headerRowCount="1" totalsRowCount="0" totalsRowShown="0">
  <tableColumns count="5">
    <tableColumn id="1" name="Resource"/>
    <tableColumn id="2" name="Where It Helps"/>
    <tableColumn id="3" name="How to Use"/>
    <tableColumn id="4" name="Freshness Risk"/>
    <tableColumn id="5" name="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DFMentalModelTable" displayName="ADFMentalModelTable" ref="A3:C26" headerRowCount="1" totalsRowCount="0" totalsRowShown="0">
  <tableColumns count="3">
    <tableColumn id="1" name="Concept"/>
    <tableColumn id="2" name="Mental Model"/>
    <tableColumn id="3" name="Interview Question to Ask Yoursel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selection activeCell="A1" sqref="A1"/>
    </sheetView>
  </sheetViews>
  <sheetFormatPr baseColWidth="8" defaultRowHeight="15"/>
  <cols>
    <col width="26" customWidth="1" style="88" min="1" max="1"/>
    <col width="8" customWidth="1" style="88" min="2" max="2"/>
    <col width="34" customWidth="1" style="88" min="3" max="3"/>
    <col width="48" customWidth="1" style="88" min="4" max="4"/>
    <col width="52" customWidth="1" style="88" min="5" max="5"/>
    <col width="11" customWidth="1" style="88" min="6" max="6"/>
    <col width="40" customWidth="1" style="88" min="7" max="7"/>
    <col width="22" customWidth="1" style="88" min="8" max="8"/>
    <col width="52" customWidth="1" style="88" min="9" max="9"/>
    <col width="11" customWidth="1" style="88" min="10" max="10"/>
    <col width="24" customWidth="1" style="88" min="11" max="11"/>
    <col width="18" customWidth="1" style="88" min="12" max="12"/>
    <col width="18" customWidth="1" style="88" min="13" max="13"/>
    <col width="18" customWidth="1" style="88" min="14" max="14"/>
    <col width="18" customWidth="1" style="88" min="15" max="15"/>
  </cols>
  <sheetData>
    <row r="1" ht="28" customHeight="1" s="88">
      <c r="A1" s="9" t="inlineStr">
        <is>
          <t>Azure Data Factory — Master Roadmap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L1" s="53" t="inlineStr">
        <is>
          <t>Roadmap Summary</t>
        </is>
      </c>
      <c r="M1" s="1" t="n"/>
      <c r="N1" s="1" t="n"/>
      <c r="O1" s="1" t="n"/>
    </row>
    <row r="2" ht="28" customHeight="1" s="88">
      <c r="A2" s="17" t="inlineStr">
        <is>
          <t>Target: Product Owner / Program-Delivery Manager / Cloud-Engineering Manager. Focus: architecture, orchestration, data movement, networking, security, operations, cost, Databricks integration and interview readiness.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L2" s="29" t="inlineStr">
        <is>
          <t>Topics</t>
        </is>
      </c>
      <c r="M2" s="58">
        <f>COUNTA(B6:B66)</f>
        <v/>
      </c>
      <c r="N2" s="59" t="n"/>
      <c r="O2" s="59" t="n"/>
    </row>
    <row r="3" ht="28" customHeight="1" s="88">
      <c r="A3" s="25" t="inlineStr">
        <is>
          <t>Roadmap basis: the PrepBench ADF Study Guide (23 chapters, rewritten October 2026). Every topic below is taught in the chapters named in the last column; volatile Microsoft limits and connector behaviour should be re-checked periodically.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L3" s="29" t="inlineStr">
        <is>
          <t>Estimated Hours</t>
        </is>
      </c>
      <c r="M3" s="58">
        <f>SUM(F6:F66)</f>
        <v/>
      </c>
      <c r="N3" s="59" t="n"/>
      <c r="O3" s="59" t="n"/>
    </row>
    <row r="4" ht="22" customHeight="1" s="88">
      <c r="L4" s="29" t="inlineStr">
        <is>
          <t>Core Topics</t>
        </is>
      </c>
      <c r="M4" s="58">
        <f>COUNTIF(J6:J66,"Core")</f>
        <v/>
      </c>
      <c r="N4" s="59" t="n"/>
      <c r="O4" s="59" t="n"/>
    </row>
    <row r="5" ht="28" customHeight="1" s="88">
      <c r="A5" s="29" t="inlineStr">
        <is>
          <t>Phase</t>
        </is>
      </c>
      <c r="B5" s="29" t="inlineStr">
        <is>
          <t>Topic #</t>
        </is>
      </c>
      <c r="C5" s="29" t="inlineStr">
        <is>
          <t>Topic</t>
        </is>
      </c>
      <c r="D5" s="29" t="inlineStr">
        <is>
          <t>Learning Objective</t>
        </is>
      </c>
      <c r="E5" s="29" t="inlineStr">
        <is>
          <t>Success Criteria</t>
        </is>
      </c>
      <c r="F5" s="29" t="inlineStr">
        <is>
          <t>Est. Hours</t>
        </is>
      </c>
      <c r="G5" s="29" t="inlineStr">
        <is>
          <t>Evidence / Lab</t>
        </is>
      </c>
      <c r="H5" s="29" t="inlineStr">
        <is>
          <t>Course Area</t>
        </is>
      </c>
      <c r="I5" s="29" t="inlineStr">
        <is>
          <t>Primary Source</t>
        </is>
      </c>
      <c r="J5" s="29" t="inlineStr">
        <is>
          <t>Priority</t>
        </is>
      </c>
      <c r="K5" s="29" t="inlineStr">
        <is>
          <t>Study Guide Chapters</t>
        </is>
      </c>
      <c r="L5" s="29" t="inlineStr">
        <is>
          <t>Phases</t>
        </is>
      </c>
      <c r="M5" s="58">
        <f>COUNTA('Journey Progress Tracker'!J3:J16)</f>
        <v/>
      </c>
      <c r="N5" s="59" t="n"/>
      <c r="O5" s="59" t="n"/>
    </row>
    <row r="6" ht="54" customHeight="1" s="88">
      <c r="A6" s="38" t="inlineStr">
        <is>
          <t>1. ADF Foundations</t>
        </is>
      </c>
      <c r="B6" s="38" t="n">
        <v>1</v>
      </c>
      <c r="C6" s="38" t="inlineStr">
        <is>
          <t>What Azure Data Factory Is</t>
        </is>
      </c>
      <c r="D6" s="38" t="inlineStr">
        <is>
          <t>Understand ADF as a managed cloud data-integration and orchestration service; distinguish orchestration, movement and transformation.</t>
        </is>
      </c>
      <c r="E6" s="38" t="inlineStr">
        <is>
          <t>Explain what ADF does, where it fits in an Azure data platform, and why it is not the primary compute engine for heavy transformation.</t>
        </is>
      </c>
      <c r="F6" s="98" t="n">
        <v>2</v>
      </c>
      <c r="G6" s="38" t="inlineStr">
        <is>
          <t>Write a one-minute ADF explanation for a Product/Program interview.</t>
        </is>
      </c>
      <c r="H6" s="38" t="inlineStr">
        <is>
          <t>Overview</t>
        </is>
      </c>
      <c r="I6" s="38" t="inlineStr">
        <is>
          <t>https://learn.microsoft.com/en-us/azure/data-factory/introduction</t>
        </is>
      </c>
      <c r="J6" s="38" t="inlineStr">
        <is>
          <t>Core</t>
        </is>
      </c>
      <c r="K6" s="38" t="inlineStr">
        <is>
          <t>Ch 1</t>
        </is>
      </c>
      <c r="L6" s="59" t="n"/>
      <c r="M6" s="59" t="n"/>
      <c r="N6" s="59" t="n"/>
      <c r="O6" s="59" t="n"/>
    </row>
    <row r="7" ht="54" customHeight="1" s="88">
      <c r="A7" s="36" t="inlineStr">
        <is>
          <t>1. ADF Foundations</t>
        </is>
      </c>
      <c r="B7" s="36" t="n">
        <v>4</v>
      </c>
      <c r="C7" s="36" t="inlineStr">
        <is>
          <t>ADF Mental Model for Managers</t>
        </is>
      </c>
      <c r="D7" s="36" t="inlineStr">
        <is>
          <t>Translate ADF concepts into ownership, risk, SLA, dependency, cost and operational language.</t>
        </is>
      </c>
      <c r="E7" s="36" t="inlineStr">
        <is>
          <t>Explain an ADF design to PO/PM/EM stakeholders without pretending to be an ADF developer.</t>
        </is>
      </c>
      <c r="F7" s="99" t="n">
        <v>2</v>
      </c>
      <c r="G7" s="36" t="inlineStr">
        <is>
          <t>Create a one-page manager mental model.</t>
        </is>
      </c>
      <c r="H7" s="36" t="inlineStr">
        <is>
          <t>Manager Lens</t>
        </is>
      </c>
      <c r="I7" s="36" t="inlineStr">
        <is>
          <t>https://learn.microsoft.com/en-us/azure/data-factory/</t>
        </is>
      </c>
      <c r="J7" s="36" t="inlineStr">
        <is>
          <t>Core</t>
        </is>
      </c>
      <c r="K7" s="36" t="inlineStr">
        <is>
          <t>Ch 1, Ch 23</t>
        </is>
      </c>
      <c r="L7" s="53" t="inlineStr">
        <is>
          <t>Recommended sequencing</t>
        </is>
      </c>
      <c r="M7" s="1" t="n"/>
      <c r="N7" s="1" t="n"/>
      <c r="O7" s="1" t="n"/>
    </row>
    <row r="8" ht="54" customHeight="1" s="88">
      <c r="A8" s="38" t="inlineStr">
        <is>
          <t>1. ADF Foundations</t>
        </is>
      </c>
      <c r="B8" s="38" t="n">
        <v>61</v>
      </c>
      <c r="C8" s="38" t="inlineStr">
        <is>
          <t>How ADF Works: Architecture and the Four Questions</t>
        </is>
      </c>
      <c r="D8" s="38" t="inlineStr">
        <is>
          <t>Understand ADF as five capabilities and eight components, and how any pipeline answers four questions in order: connect, transform, reach production, monitor.</t>
        </is>
      </c>
      <c r="E8" s="38" t="inlineStr">
        <is>
          <t>Walk a nightly load through the four questions, naming the component that answers each and one quiet failure for each.</t>
        </is>
      </c>
      <c r="F8" s="98" t="n">
        <v>3</v>
      </c>
      <c r="G8" s="38" t="inlineStr">
        <is>
          <t>Walk the retail sales load through the four questions out loud in two minutes, naming the component that answers each one.</t>
        </is>
      </c>
      <c r="H8" s="38" t="inlineStr">
        <is>
          <t>How ADF Works</t>
        </is>
      </c>
      <c r="I8" s="38" t="inlineStr">
        <is>
          <t>https://learn.microsoft.com/en-us/azure/data-factory/introduction</t>
        </is>
      </c>
      <c r="J8" s="38" t="inlineStr">
        <is>
          <t>Core</t>
        </is>
      </c>
      <c r="K8" s="38" t="inlineStr">
        <is>
          <t>Ch 2</t>
        </is>
      </c>
      <c r="L8" s="73" t="inlineStr">
        <is>
          <t>1) Foundations → 2) Core construction → 3) Control flow → 4) Triggers → 5) Integration Runtime/networking → 6) Copy → 7) Incremental/CDC → 8) Data Flow/reconciliation → 9) Security/monitoring → 10) CI/CD/reliability → 11) Performance/cost → 12) architecture/interview capstone.</t>
        </is>
      </c>
      <c r="M8" s="1" t="n"/>
      <c r="N8" s="1" t="n"/>
      <c r="O8" s="1" t="n"/>
    </row>
    <row r="9" ht="54" customHeight="1" s="88">
      <c r="A9" s="36" t="inlineStr">
        <is>
          <t>2. Building Blocks</t>
        </is>
      </c>
      <c r="B9" s="36" t="n">
        <v>3</v>
      </c>
      <c r="C9" s="36" t="inlineStr">
        <is>
          <t>ADF Resource Model</t>
        </is>
      </c>
      <c r="D9" s="36" t="inlineStr">
        <is>
          <t>Learn factory, pipeline, activity, dataset, linked service, trigger and pipeline run relationships.</t>
        </is>
      </c>
      <c r="E9" s="36" t="inlineStr">
        <is>
          <t>Draw the object model without mixing connection metadata, data metadata and execution state.</t>
        </is>
      </c>
      <c r="F9" s="99" t="n">
        <v>2</v>
      </c>
      <c r="G9" s="36" t="inlineStr">
        <is>
          <t>Produce an ADF object relationship diagram.</t>
        </is>
      </c>
      <c r="H9" s="36" t="inlineStr">
        <is>
          <t>Building Blocks</t>
        </is>
      </c>
      <c r="I9" s="36" t="inlineStr">
        <is>
          <t>https://learn.microsoft.com/en-us/azure/data-factory/concepts-pipelines-activities</t>
        </is>
      </c>
      <c r="J9" s="36" t="inlineStr">
        <is>
          <t>Core</t>
        </is>
      </c>
      <c r="K9" s="36" t="inlineStr">
        <is>
          <t>Ch 3</t>
        </is>
      </c>
      <c r="L9" s="1" t="n"/>
      <c r="O9" s="1" t="n"/>
    </row>
    <row r="10" ht="54" customHeight="1" s="88">
      <c r="A10" s="38" t="inlineStr">
        <is>
          <t>2. Building Blocks</t>
        </is>
      </c>
      <c r="B10" s="38" t="n">
        <v>5</v>
      </c>
      <c r="C10" s="38" t="inlineStr">
        <is>
          <t>Linked Services</t>
        </is>
      </c>
      <c r="D10" s="38" t="inlineStr">
        <is>
          <t>Understand connection information, authentication, connectVia and target-system permissions.</t>
        </is>
      </c>
      <c r="E10" s="38" t="inlineStr">
        <is>
          <t>Explain how credentials and connectivity are separated from pipeline logic.</t>
        </is>
      </c>
      <c r="F10" s="98" t="n">
        <v>2</v>
      </c>
      <c r="G10" s="38" t="inlineStr">
        <is>
          <t>Build a linked-service decision checklist.</t>
        </is>
      </c>
      <c r="H10" s="38" t="inlineStr">
        <is>
          <t>Linked Services</t>
        </is>
      </c>
      <c r="I10" s="38" t="inlineStr">
        <is>
          <t>https://learn.microsoft.com/en-us/azure/data-factory/concepts-linked-services</t>
        </is>
      </c>
      <c r="J10" s="38" t="inlineStr">
        <is>
          <t>Core</t>
        </is>
      </c>
      <c r="K10" s="38" t="inlineStr">
        <is>
          <t>Ch 3</t>
        </is>
      </c>
      <c r="L10" s="1" t="n"/>
      <c r="O10" s="1" t="n"/>
    </row>
    <row r="11" ht="54" customHeight="1" s="88">
      <c r="A11" s="36" t="inlineStr">
        <is>
          <t>2. Building Blocks</t>
        </is>
      </c>
      <c r="B11" s="36" t="n">
        <v>6</v>
      </c>
      <c r="C11" s="36" t="inlineStr">
        <is>
          <t>Datasets and Parameterisation</t>
        </is>
      </c>
      <c r="D11" s="36" t="inlineStr">
        <is>
          <t>Understand datasets as reusable views of data and parameterise paths, tables and filenames.</t>
        </is>
      </c>
      <c r="E11" s="36" t="inlineStr">
        <is>
          <t>Explain pipeline → dataset parameter flow and avoid hard-coded source/sink definitions.</t>
        </is>
      </c>
      <c r="F11" s="99" t="n">
        <v>3</v>
      </c>
      <c r="G11" s="36" t="inlineStr">
        <is>
          <t>Create a parameterised dataset pattern for table/date.</t>
        </is>
      </c>
      <c r="H11" s="36" t="inlineStr">
        <is>
          <t>Datasets / Parameters</t>
        </is>
      </c>
      <c r="I11" s="36" t="inlineStr">
        <is>
          <t>https://learn.microsoft.com/en-us/azure/data-factory/concepts-datasets-linked-services</t>
        </is>
      </c>
      <c r="J11" s="36" t="inlineStr">
        <is>
          <t>Core</t>
        </is>
      </c>
      <c r="K11" s="36" t="inlineStr">
        <is>
          <t>Ch 3</t>
        </is>
      </c>
      <c r="L11" s="1" t="n"/>
      <c r="O11" s="1" t="n"/>
    </row>
    <row r="12" ht="54" customHeight="1" s="88">
      <c r="A12" s="38" t="inlineStr">
        <is>
          <t>2. Building Blocks</t>
        </is>
      </c>
      <c r="B12" s="38" t="n">
        <v>8</v>
      </c>
      <c r="C12" s="38" t="inlineStr">
        <is>
          <t>Global Parameters and Reusable Configuration</t>
        </is>
      </c>
      <c r="D12" s="38" t="inlineStr">
        <is>
          <t>Understand factory-wide configuration and environment-specific values.</t>
        </is>
      </c>
      <c r="E12" s="38" t="inlineStr">
        <is>
          <t>Explain when a value belongs at pipeline, dataset, linked-service or factory scope.</t>
        </is>
      </c>
      <c r="F12" s="98" t="n">
        <v>2</v>
      </c>
      <c r="G12" s="38" t="inlineStr">
        <is>
          <t>Design Dev/Test/Prod configuration boundaries.</t>
        </is>
      </c>
      <c r="H12" s="38" t="inlineStr">
        <is>
          <t>Global Parameters</t>
        </is>
      </c>
      <c r="I12" s="38" t="inlineStr">
        <is>
          <t>https://learn.microsoft.com/en-us/azure/data-factory/author-global-parameters</t>
        </is>
      </c>
      <c r="J12" s="38" t="inlineStr">
        <is>
          <t>Core</t>
        </is>
      </c>
      <c r="K12" s="38" t="inlineStr">
        <is>
          <t>Ch 3</t>
        </is>
      </c>
      <c r="L12" s="1" t="n"/>
      <c r="M12" s="1" t="n"/>
      <c r="N12" s="1" t="n"/>
      <c r="O12" s="1" t="n"/>
    </row>
    <row r="13" ht="54" customHeight="1" s="88">
      <c r="A13" s="36" t="inlineStr">
        <is>
          <t>3. Pipelines &amp; Control Flow</t>
        </is>
      </c>
      <c r="B13" s="36" t="n">
        <v>7</v>
      </c>
      <c r="C13" s="36" t="inlineStr">
        <is>
          <t>Pipeline Parameters, Variables and Expressions</t>
        </is>
      </c>
      <c r="D13" s="36" t="inlineStr">
        <is>
          <t>Understand read-only parameters, mutable variables, expression evaluation and dynamic content.</t>
        </is>
      </c>
      <c r="E13" s="36" t="inlineStr">
        <is>
          <t>Correctly choose between parameter, variable and expression and explain parallel-loop variable risk.</t>
        </is>
      </c>
      <c r="F13" s="99" t="n">
        <v>3</v>
      </c>
      <c r="G13" s="36" t="inlineStr">
        <is>
          <t>Create a reusable pipeline parameter model.</t>
        </is>
      </c>
      <c r="H13" s="36" t="inlineStr">
        <is>
          <t>Parameters / Variables</t>
        </is>
      </c>
      <c r="I13" s="36" t="inlineStr">
        <is>
          <t>https://learn.microsoft.com/en-us/azure/data-factory/concepts-parameters-variables</t>
        </is>
      </c>
      <c r="J13" s="36" t="inlineStr">
        <is>
          <t>Core</t>
        </is>
      </c>
      <c r="K13" s="36" t="inlineStr">
        <is>
          <t>Ch 4</t>
        </is>
      </c>
      <c r="L13" s="59" t="n"/>
      <c r="M13" s="59" t="n"/>
      <c r="N13" s="59" t="n"/>
      <c r="O13" s="59" t="n"/>
    </row>
    <row r="14" ht="54" customHeight="1" s="88">
      <c r="A14" s="38" t="inlineStr">
        <is>
          <t>3. Pipelines &amp; Control Flow</t>
        </is>
      </c>
      <c r="B14" s="38" t="n">
        <v>9</v>
      </c>
      <c r="C14" s="38" t="inlineStr">
        <is>
          <t>Activity Types and Execution Semantics</t>
        </is>
      </c>
      <c r="D14" s="38" t="inlineStr">
        <is>
          <t>Understand data movement, transformation and control-flow activities and their execution model.</t>
        </is>
      </c>
      <c r="E14" s="38" t="inlineStr">
        <is>
          <t>Classify an activity correctly and explain what executes in ADF versus a downstream compute service.</t>
        </is>
      </c>
      <c r="F14" s="98" t="n">
        <v>2</v>
      </c>
      <c r="G14" s="38" t="inlineStr">
        <is>
          <t>Map 15 common activities to their category and execution location.</t>
        </is>
      </c>
      <c r="H14" s="38" t="inlineStr">
        <is>
          <t>Activities</t>
        </is>
      </c>
      <c r="I14" s="38" t="inlineStr">
        <is>
          <t>https://learn.microsoft.com/en-us/azure/data-factory/concepts-pipelines-activities</t>
        </is>
      </c>
      <c r="J14" s="38" t="inlineStr">
        <is>
          <t>Core</t>
        </is>
      </c>
      <c r="K14" s="38" t="inlineStr">
        <is>
          <t>Ch 4</t>
        </is>
      </c>
      <c r="L14" s="53" t="inlineStr">
        <is>
          <t>How to use this roadmap</t>
        </is>
      </c>
      <c r="M14" s="1" t="n"/>
      <c r="N14" s="1" t="n"/>
      <c r="O14" s="1" t="n"/>
    </row>
    <row r="15" ht="54" customHeight="1" s="88">
      <c r="A15" s="36" t="inlineStr">
        <is>
          <t>3. Pipelines &amp; Control Flow</t>
        </is>
      </c>
      <c r="B15" s="36" t="n">
        <v>10</v>
      </c>
      <c r="C15" s="36" t="inlineStr">
        <is>
          <t>Dependencies: Success, Failure, Completion and Skip</t>
        </is>
      </c>
      <c r="D15" s="36" t="inlineStr">
        <is>
          <t>Understand dependency conditions and how activity graphs determine pipeline outcomes.</t>
        </is>
      </c>
      <c r="E15" s="36" t="inlineStr">
        <is>
          <t>Design a failure notification and cleanup flow without accidentally masking failures.</t>
        </is>
      </c>
      <c r="F15" s="99" t="n">
        <v>3</v>
      </c>
      <c r="G15" s="36" t="inlineStr">
        <is>
          <t>Build a Try/Catch-style control-flow design on paper.</t>
        </is>
      </c>
      <c r="H15" s="36" t="inlineStr">
        <is>
          <t>Control Flow</t>
        </is>
      </c>
      <c r="I15" s="36" t="inlineStr">
        <is>
          <t>https://learn.microsoft.com/en-us/azure/data-factory/tutorial-pipeline-failure-error-handling</t>
        </is>
      </c>
      <c r="J15" s="36" t="inlineStr">
        <is>
          <t>Core</t>
        </is>
      </c>
      <c r="K15" s="36" t="inlineStr">
        <is>
          <t>Ch 4, Ch 13</t>
        </is>
      </c>
      <c r="L15" s="73" t="inlineStr">
        <is>
          <t>Each topic has a concrete evidence item. Finish a topic when you can explain the concept, state the architecture trade-off, identify a failure mode, and produce the listed artifact/lab. Use the Progress Tracker as the operational checklist.</t>
        </is>
      </c>
      <c r="M15" s="1" t="n"/>
      <c r="N15" s="1" t="n"/>
      <c r="O15" s="1" t="n"/>
    </row>
    <row r="16" ht="54" customHeight="1" s="88">
      <c r="A16" s="38" t="inlineStr">
        <is>
          <t>3. Pipelines &amp; Control Flow</t>
        </is>
      </c>
      <c r="B16" s="38" t="n">
        <v>11</v>
      </c>
      <c r="C16" s="38" t="inlineStr">
        <is>
          <t>Lookup and Get Metadata</t>
        </is>
      </c>
      <c r="D16" s="38" t="inlineStr">
        <is>
          <t>Understand metadata discovery, output limits and common control-table patterns.</t>
        </is>
      </c>
      <c r="E16" s="38" t="inlineStr">
        <is>
          <t>Know when Lookup is appropriate and when its output constraints require a different pattern.</t>
        </is>
      </c>
      <c r="F16" s="98" t="n">
        <v>2</v>
      </c>
      <c r="G16" s="38" t="inlineStr">
        <is>
          <t>Design a control-table discovery flow.</t>
        </is>
      </c>
      <c r="H16" s="38" t="inlineStr">
        <is>
          <t>Control Flow</t>
        </is>
      </c>
      <c r="I16" s="38" t="inlineStr">
        <is>
          <t>https://learn.microsoft.com/en-us/azure/data-factory/control-flow-lookup-activity</t>
        </is>
      </c>
      <c r="J16" s="38" t="inlineStr">
        <is>
          <t>Core</t>
        </is>
      </c>
      <c r="K16" s="38" t="inlineStr">
        <is>
          <t>Ch 4</t>
        </is>
      </c>
      <c r="L16" s="1" t="n"/>
      <c r="O16" s="1" t="n"/>
    </row>
    <row r="17" ht="54" customHeight="1" s="88">
      <c r="A17" s="36" t="inlineStr">
        <is>
          <t>3. Pipelines &amp; Control Flow</t>
        </is>
      </c>
      <c r="B17" s="36" t="n">
        <v>12</v>
      </c>
      <c r="C17" s="36" t="inlineStr">
        <is>
          <t>ForEach, Batch Count and Parallelism</t>
        </is>
      </c>
      <c r="D17" s="36" t="inlineStr">
        <is>
          <t>Understand iteration, parallel execution, batchCount and nesting restrictions.</t>
        </is>
      </c>
      <c r="E17" s="36" t="inlineStr">
        <is>
          <t>Explain why parallel loops can create race conditions and source/sink pressure.</t>
        </is>
      </c>
      <c r="F17" s="99" t="n">
        <v>3</v>
      </c>
      <c r="G17" s="36" t="inlineStr">
        <is>
          <t>Design a 1,000-table metadata-driven loop safely.</t>
        </is>
      </c>
      <c r="H17" s="36" t="inlineStr">
        <is>
          <t>Control Flow</t>
        </is>
      </c>
      <c r="I17" s="36" t="inlineStr">
        <is>
          <t>https://learn.microsoft.com/en-us/azure/data-factory/control-flow-for-each-activity</t>
        </is>
      </c>
      <c r="J17" s="36" t="inlineStr">
        <is>
          <t>Core</t>
        </is>
      </c>
      <c r="K17" s="36" t="inlineStr">
        <is>
          <t>Ch 4</t>
        </is>
      </c>
      <c r="L17" s="1" t="n"/>
      <c r="O17" s="1" t="n"/>
    </row>
    <row r="18" ht="54" customHeight="1" s="88">
      <c r="A18" s="38" t="inlineStr">
        <is>
          <t>3. Pipelines &amp; Control Flow</t>
        </is>
      </c>
      <c r="B18" s="38" t="n">
        <v>13</v>
      </c>
      <c r="C18" s="38" t="inlineStr">
        <is>
          <t>If Condition, Switch, Until and Wait</t>
        </is>
      </c>
      <c r="D18" s="38" t="inlineStr">
        <is>
          <t>Understand branching, polling and controlled repetition.</t>
        </is>
      </c>
      <c r="E18" s="38" t="inlineStr">
        <is>
          <t>Choose the correct control construct instead of overusing nested pipelines.</t>
        </is>
      </c>
      <c r="F18" s="98" t="n">
        <v>2</v>
      </c>
      <c r="G18" s="38" t="inlineStr">
        <is>
          <t>Map 5 workflow requirements to the correct activity.</t>
        </is>
      </c>
      <c r="H18" s="38" t="inlineStr">
        <is>
          <t>Control Flow</t>
        </is>
      </c>
      <c r="I18" s="38" t="inlineStr">
        <is>
          <t>https://learn.microsoft.com/en-us/azure/data-factory/concepts-pipelines-activities</t>
        </is>
      </c>
      <c r="J18" s="38" t="inlineStr">
        <is>
          <t>Core</t>
        </is>
      </c>
      <c r="K18" s="38" t="inlineStr">
        <is>
          <t>Ch 4</t>
        </is>
      </c>
      <c r="L18" s="1" t="n"/>
      <c r="O18" s="1" t="n"/>
    </row>
    <row r="19" ht="54" customHeight="1" s="88">
      <c r="A19" s="36" t="inlineStr">
        <is>
          <t>3. Pipelines &amp; Control Flow</t>
        </is>
      </c>
      <c r="B19" s="36" t="n">
        <v>14</v>
      </c>
      <c r="C19" s="36" t="inlineStr">
        <is>
          <t>Execute Pipeline and Reusable Child Pipelines</t>
        </is>
      </c>
      <c r="D19" s="36" t="inlineStr">
        <is>
          <t>Understand parent/child composition and reusable orchestration units.</t>
        </is>
      </c>
      <c r="E19" s="36" t="inlineStr">
        <is>
          <t>Explain how child pipelines reduce duplication while keeping ownership and observability clear.</t>
        </is>
      </c>
      <c r="F19" s="99" t="n">
        <v>2</v>
      </c>
      <c r="G19" s="36" t="inlineStr">
        <is>
          <t>Design a parent pipeline + reusable child pipeline architecture.</t>
        </is>
      </c>
      <c r="H19" s="36" t="inlineStr">
        <is>
          <t>Execute Pipeline</t>
        </is>
      </c>
      <c r="I19" s="36" t="inlineStr">
        <is>
          <t>https://learn.microsoft.com/en-us/azure/data-factory/control-flow-execute-pipeline-activity</t>
        </is>
      </c>
      <c r="J19" s="36" t="inlineStr">
        <is>
          <t>Core</t>
        </is>
      </c>
      <c r="K19" s="36" t="inlineStr">
        <is>
          <t>Ch 4</t>
        </is>
      </c>
      <c r="L19" s="1" t="n"/>
      <c r="O19" s="1" t="n"/>
    </row>
    <row r="20" ht="54" customHeight="1" s="88">
      <c r="A20" s="38" t="inlineStr">
        <is>
          <t>3. Pipelines &amp; Control Flow</t>
        </is>
      </c>
      <c r="B20" s="38" t="n">
        <v>15</v>
      </c>
      <c r="C20" s="38" t="inlineStr">
        <is>
          <t>Web, Function, Script and Stored Procedure Integration</t>
        </is>
      </c>
      <c r="D20" s="38" t="inlineStr">
        <is>
          <t>Understand when ADF calls external services versus executes database-side logic.</t>
        </is>
      </c>
      <c r="E20" s="38" t="inlineStr">
        <is>
          <t>Choose the right integration mechanism and identify security, timeout and retry implications.</t>
        </is>
      </c>
      <c r="F20" s="98" t="n">
        <v>3</v>
      </c>
      <c r="G20" s="38" t="inlineStr">
        <is>
          <t>Create a decision table for Web/Function/Script/Stored Procedure.</t>
        </is>
      </c>
      <c r="H20" s="38" t="inlineStr">
        <is>
          <t>Activity Reference</t>
        </is>
      </c>
      <c r="I20" s="38" t="inlineStr">
        <is>
          <t>https://learn.microsoft.com/en-us/azure/data-factory/concepts-pipelines-activities</t>
        </is>
      </c>
      <c r="J20" s="38" t="inlineStr">
        <is>
          <t>Core</t>
        </is>
      </c>
      <c r="K20" s="38" t="inlineStr">
        <is>
          <t>Ch 4</t>
        </is>
      </c>
      <c r="L20" s="1" t="n"/>
      <c r="M20" s="1" t="n"/>
      <c r="N20" s="1" t="n"/>
      <c r="O20" s="1" t="n"/>
    </row>
    <row r="21" ht="54" customHeight="1" s="88">
      <c r="A21" s="36" t="inlineStr">
        <is>
          <t>3. Pipelines &amp; Control Flow</t>
        </is>
      </c>
      <c r="B21" s="36" t="n">
        <v>55</v>
      </c>
      <c r="C21" s="36" t="inlineStr">
        <is>
          <t>ADF + Azure Databricks</t>
        </is>
      </c>
      <c r="D21" s="36" t="inlineStr">
        <is>
          <t>Understand notebook activity, parameter passing, outputs, orchestration boundaries and failure handling.</t>
        </is>
      </c>
      <c r="E21" s="36" t="inlineStr">
        <is>
          <t>Explain where ADF stops and Databricks starts in a production data platform.</t>
        </is>
      </c>
      <c r="F21" s="99" t="n">
        <v>3</v>
      </c>
      <c r="G21" s="36" t="inlineStr">
        <is>
          <t>Design an ADF→Databricks→validation workflow.</t>
        </is>
      </c>
      <c r="H21" s="36" t="inlineStr">
        <is>
          <t>Databricks</t>
        </is>
      </c>
      <c r="I21" s="36" t="inlineStr">
        <is>
          <t>https://learn.microsoft.com/en-us/azure/data-factory/transform-data-databricks-notebook</t>
        </is>
      </c>
      <c r="J21" s="36" t="inlineStr">
        <is>
          <t>Core</t>
        </is>
      </c>
      <c r="K21" s="36" t="inlineStr">
        <is>
          <t>Ch 4</t>
        </is>
      </c>
    </row>
    <row r="22" ht="54" customHeight="1" s="88">
      <c r="A22" s="38" t="inlineStr">
        <is>
          <t>3. Pipelines &amp; Control Flow</t>
        </is>
      </c>
      <c r="B22" s="38" t="n">
        <v>56</v>
      </c>
      <c r="C22" s="38" t="inlineStr">
        <is>
          <t>ADF + Azure Synapse</t>
        </is>
      </c>
      <c r="D22" s="38" t="inlineStr">
        <is>
          <t>Understand common orchestration patterns, notebook/SQL integration and sink choices.</t>
        </is>
      </c>
      <c r="E22" s="38" t="inlineStr">
        <is>
          <t>Explain when Synapse-native capabilities change the ADF architecture.</t>
        </is>
      </c>
      <c r="F22" s="98" t="n">
        <v>2</v>
      </c>
      <c r="G22" s="38" t="inlineStr">
        <is>
          <t>Design an ADF + Synapse batch architecture.</t>
        </is>
      </c>
      <c r="H22" s="38" t="inlineStr">
        <is>
          <t>Synapse Integration</t>
        </is>
      </c>
      <c r="I22" s="38" t="inlineStr">
        <is>
          <t>https://learn.microsoft.com/en-us/azure/data-factory/transform-data-synapse-notebook</t>
        </is>
      </c>
      <c r="J22" s="38" t="inlineStr">
        <is>
          <t>Core</t>
        </is>
      </c>
      <c r="K22" s="38" t="inlineStr">
        <is>
          <t>Ch 4, Ch 12</t>
        </is>
      </c>
    </row>
    <row r="23" ht="54" customHeight="1" s="88">
      <c r="A23" s="36" t="inlineStr">
        <is>
          <t>4. Integration Runtime &amp; Networking</t>
        </is>
      </c>
      <c r="B23" s="36" t="n">
        <v>20</v>
      </c>
      <c r="C23" s="36" t="inlineStr">
        <is>
          <t>Integration Runtime Fundamentals</t>
        </is>
      </c>
      <c r="D23" s="36" t="inlineStr">
        <is>
          <t>Understand Azure IR, Self-hosted IR and Azure-SSIS IR as the three main IR families.</t>
        </is>
      </c>
      <c r="E23" s="36" t="inlineStr">
        <is>
          <t>Select the appropriate runtime based on connectivity, execution type and operational ownership.</t>
        </is>
      </c>
      <c r="F23" s="99" t="n">
        <v>3</v>
      </c>
      <c r="G23" s="36" t="inlineStr">
        <is>
          <t>Create an IR decision tree.</t>
        </is>
      </c>
      <c r="H23" s="36" t="inlineStr">
        <is>
          <t>Integration Runtime</t>
        </is>
      </c>
      <c r="I23" s="36" t="inlineStr">
        <is>
          <t>https://learn.microsoft.com/en-us/azure/data-factory/concepts-integration-runtime</t>
        </is>
      </c>
      <c r="J23" s="36" t="inlineStr">
        <is>
          <t>Core</t>
        </is>
      </c>
      <c r="K23" s="36" t="inlineStr">
        <is>
          <t>Ch 5</t>
        </is>
      </c>
    </row>
    <row r="24" ht="54" customHeight="1" s="88">
      <c r="A24" s="38" t="inlineStr">
        <is>
          <t>4. Integration Runtime &amp; Networking</t>
        </is>
      </c>
      <c r="B24" s="38" t="n">
        <v>21</v>
      </c>
      <c r="C24" s="38" t="inlineStr">
        <is>
          <t>Self-hosted IR Architecture and Operations</t>
        </is>
      </c>
      <c r="D24" s="38" t="inlineStr">
        <is>
          <t>Understand SHIR installation, network reachability, scale-out/HA, patching, proxies and ownership.</t>
        </is>
      </c>
      <c r="E24" s="38" t="inlineStr">
        <is>
          <t>Explain why SHIR is production infrastructure and what the support model must contain.</t>
        </is>
      </c>
      <c r="F24" s="98" t="n">
        <v>4</v>
      </c>
      <c r="G24" s="38" t="inlineStr">
        <is>
          <t>Write a SHIR production handover checklist.</t>
        </is>
      </c>
      <c r="H24" s="38" t="inlineStr">
        <is>
          <t>Self-hosted IR</t>
        </is>
      </c>
      <c r="I24" s="38" t="inlineStr">
        <is>
          <t>https://learn.microsoft.com/en-us/azure/data-factory/create-self-hosted-integration-runtime</t>
        </is>
      </c>
      <c r="J24" s="38" t="inlineStr">
        <is>
          <t>Core</t>
        </is>
      </c>
      <c r="K24" s="38" t="inlineStr">
        <is>
          <t>Ch 5</t>
        </is>
      </c>
    </row>
    <row r="25" ht="54" customHeight="1" s="88">
      <c r="A25" s="36" t="inlineStr">
        <is>
          <t>4. Integration Runtime &amp; Networking</t>
        </is>
      </c>
      <c r="B25" s="36" t="n">
        <v>22</v>
      </c>
      <c r="C25" s="36" t="inlineStr">
        <is>
          <t>Managed VNet and Managed Private Endpoints</t>
        </is>
      </c>
      <c r="D25" s="36" t="inlineStr">
        <is>
          <t>Understand Managed VNet as an Azure IR configuration and how managed private endpoints provide private connectivity.</t>
        </is>
      </c>
      <c r="E25" s="36" t="inlineStr">
        <is>
          <t>Distinguish Managed VNet, managed private endpoint and a private endpoint for the Data Factory service.</t>
        </is>
      </c>
      <c r="F25" s="99" t="n">
        <v>4</v>
      </c>
      <c r="G25" s="36" t="inlineStr">
        <is>
          <t>Draw a private ADF network topology.</t>
        </is>
      </c>
      <c r="H25" s="36" t="inlineStr">
        <is>
          <t>Networking</t>
        </is>
      </c>
      <c r="I25" s="36" t="inlineStr">
        <is>
          <t>https://learn.microsoft.com/en-us/azure/data-factory/managed-virtual-network-private-endpoint</t>
        </is>
      </c>
      <c r="J25" s="36" t="inlineStr">
        <is>
          <t>Core</t>
        </is>
      </c>
      <c r="K25" s="36" t="inlineStr">
        <is>
          <t>Ch 5, Ch 15</t>
        </is>
      </c>
    </row>
    <row r="26" ht="54" customHeight="1" s="88">
      <c r="A26" s="38" t="inlineStr">
        <is>
          <t>4. Integration Runtime &amp; Networking</t>
        </is>
      </c>
      <c r="B26" s="38" t="n">
        <v>23</v>
      </c>
      <c r="C26" s="38" t="inlineStr">
        <is>
          <t>On-premises Connectivity and Network Paths</t>
        </is>
      </c>
      <c r="D26" s="38" t="inlineStr">
        <is>
          <t>Understand SHIR, ExpressRoute, VPN, Private Link and firewall constraints.</t>
        </is>
      </c>
      <c r="E26" s="38" t="inlineStr">
        <is>
          <t>Explain the network path instead of saying 'SHIR removes networking'.</t>
        </is>
      </c>
      <c r="F26" s="98" t="n">
        <v>3</v>
      </c>
      <c r="G26" s="38" t="inlineStr">
        <is>
          <t>Compare three on-premises connectivity topologies.</t>
        </is>
      </c>
      <c r="H26" s="38" t="inlineStr">
        <is>
          <t>Networking</t>
        </is>
      </c>
      <c r="I26" s="38" t="inlineStr">
        <is>
          <t>https://learn.microsoft.com/en-us/azure/data-factory/choose-the-right-integration-runtime-configuration</t>
        </is>
      </c>
      <c r="J26" s="38" t="inlineStr">
        <is>
          <t>Core</t>
        </is>
      </c>
      <c r="K26" s="38" t="inlineStr">
        <is>
          <t>Ch 5</t>
        </is>
      </c>
    </row>
    <row r="27" ht="54" customHeight="1" s="88">
      <c r="A27" s="36" t="inlineStr">
        <is>
          <t>4. Integration Runtime &amp; Networking</t>
        </is>
      </c>
      <c r="B27" s="36" t="n">
        <v>24</v>
      </c>
      <c r="C27" s="36" t="inlineStr">
        <is>
          <t>Private Endpoint vs Managed Private Endpoint</t>
        </is>
      </c>
      <c r="D27" s="36" t="inlineStr">
        <is>
          <t>Understand the separate purposes of private access to the factory service versus target data stores.</t>
        </is>
      </c>
      <c r="E27" s="36" t="inlineStr">
        <is>
          <t>Avoid conflating authoring/control traffic with data-plane connectivity.</t>
        </is>
      </c>
      <c r="F27" s="99" t="n">
        <v>2</v>
      </c>
      <c r="G27" s="36" t="inlineStr">
        <is>
          <t>Create a four-term networking glossary.</t>
        </is>
      </c>
      <c r="H27" s="36" t="inlineStr">
        <is>
          <t>Networking</t>
        </is>
      </c>
      <c r="I27" s="36" t="inlineStr">
        <is>
          <t>https://learn.microsoft.com/en-us/azure/data-factory/data-factory-private-link</t>
        </is>
      </c>
      <c r="J27" s="36" t="inlineStr">
        <is>
          <t>Core</t>
        </is>
      </c>
      <c r="K27" s="36" t="inlineStr">
        <is>
          <t>Ch 5, Ch 15</t>
        </is>
      </c>
    </row>
    <row r="28" ht="54" customHeight="1" s="88">
      <c r="A28" s="38" t="inlineStr">
        <is>
          <t>5. Triggers &amp; Time</t>
        </is>
      </c>
      <c r="B28" s="38" t="n">
        <v>16</v>
      </c>
      <c r="C28" s="38" t="inlineStr">
        <is>
          <t>Schedule Triggers</t>
        </is>
      </c>
      <c r="D28" s="38" t="inlineStr">
        <is>
          <t>Understand wall-clock execution, trigger-run relationships and operational implications.</t>
        </is>
      </c>
      <c r="E28" s="38" t="inlineStr">
        <is>
          <t>Explain why a schedule trigger does not inherently model data completeness for a time window.</t>
        </is>
      </c>
      <c r="F28" s="98" t="n">
        <v>2</v>
      </c>
      <c r="G28" s="38" t="inlineStr">
        <is>
          <t>Design a daily 05:15 ingestion schedule.</t>
        </is>
      </c>
      <c r="H28" s="38" t="inlineStr">
        <is>
          <t>Triggers</t>
        </is>
      </c>
      <c r="I28" s="38" t="inlineStr">
        <is>
          <t>https://learn.microsoft.com/en-us/azure/data-factory/concepts-pipeline-execution-triggers</t>
        </is>
      </c>
      <c r="J28" s="38" t="inlineStr">
        <is>
          <t>Core</t>
        </is>
      </c>
      <c r="K28" s="38" t="inlineStr">
        <is>
          <t>Ch 6</t>
        </is>
      </c>
    </row>
    <row r="29" ht="54" customHeight="1" s="88">
      <c r="A29" s="36" t="inlineStr">
        <is>
          <t>5. Triggers &amp; Time</t>
        </is>
      </c>
      <c r="B29" s="36" t="n">
        <v>17</v>
      </c>
      <c r="C29" s="36" t="inlineStr">
        <is>
          <t>Tumbling Window Triggers</t>
        </is>
      </c>
      <c r="D29" s="36" t="inlineStr">
        <is>
          <t>Understand stateful windows, backfill, retry, delay, concurrency and dependencies.</t>
        </is>
      </c>
      <c r="E29" s="36" t="inlineStr">
        <is>
          <t>Choose tumbling windows when the processing unit is a time window and missed windows matter.</t>
        </is>
      </c>
      <c r="F29" s="99" t="n">
        <v>3</v>
      </c>
      <c r="G29" s="36" t="inlineStr">
        <is>
          <t>Design an hourly load with backfill and late-data delay.</t>
        </is>
      </c>
      <c r="H29" s="36" t="inlineStr">
        <is>
          <t>Triggers</t>
        </is>
      </c>
      <c r="I29" s="36" t="inlineStr">
        <is>
          <t>https://learn.microsoft.com/en-us/azure/data-factory/how-to-create-tumbling-window-trigger</t>
        </is>
      </c>
      <c r="J29" s="36" t="inlineStr">
        <is>
          <t>Core</t>
        </is>
      </c>
      <c r="K29" s="36" t="inlineStr">
        <is>
          <t>Ch 6</t>
        </is>
      </c>
    </row>
    <row r="30" ht="54" customHeight="1" s="88">
      <c r="A30" s="38" t="inlineStr">
        <is>
          <t>5. Triggers &amp; Time</t>
        </is>
      </c>
      <c r="B30" s="38" t="n">
        <v>18</v>
      </c>
      <c r="C30" s="38" t="inlineStr">
        <is>
          <t>Event and Custom Event Triggers</t>
        </is>
      </c>
      <c r="D30" s="38" t="inlineStr">
        <is>
          <t>Understand storage events and custom Event Grid events.</t>
        </is>
      </c>
      <c r="E30" s="38" t="inlineStr">
        <is>
          <t>Select event triggering when data arrival, not wall-clock time, is the true trigger condition.</t>
        </is>
      </c>
      <c r="F30" s="98" t="n">
        <v>2</v>
      </c>
      <c r="G30" s="38" t="inlineStr">
        <is>
          <t>Design a file-arrival ingestion trigger with safe filtering.</t>
        </is>
      </c>
      <c r="H30" s="38" t="inlineStr">
        <is>
          <t>Triggers</t>
        </is>
      </c>
      <c r="I30" s="38" t="inlineStr">
        <is>
          <t>https://learn.microsoft.com/en-us/azure/data-factory/how-to-create-event-trigger</t>
        </is>
      </c>
      <c r="J30" s="38" t="inlineStr">
        <is>
          <t>Core</t>
        </is>
      </c>
      <c r="K30" s="38" t="inlineStr">
        <is>
          <t>Ch 6</t>
        </is>
      </c>
    </row>
    <row r="31" ht="54" customHeight="1" s="88">
      <c r="A31" s="36" t="inlineStr">
        <is>
          <t>5. Triggers &amp; Time</t>
        </is>
      </c>
      <c r="B31" s="36" t="n">
        <v>19</v>
      </c>
      <c r="C31" s="36" t="inlineStr">
        <is>
          <t>Time Zones and Window Semantics</t>
        </is>
      </c>
      <c r="D31" s="36" t="inlineStr">
        <is>
          <t>Understand UTC, daylight-saving behavior and window boundaries.</t>
        </is>
      </c>
      <c r="E31" s="36" t="inlineStr">
        <is>
          <t>Explain how time-zone choices affect schedules, partitions and reconciliation.</t>
        </is>
      </c>
      <c r="F31" s="99" t="n">
        <v>2</v>
      </c>
      <c r="G31" s="36" t="inlineStr">
        <is>
          <t>Create a UTC-based scheduling standard.</t>
        </is>
      </c>
      <c r="H31" s="36" t="inlineStr">
        <is>
          <t>Triggers</t>
        </is>
      </c>
      <c r="I31" s="36" t="inlineStr">
        <is>
          <t>https://learn.microsoft.com/en-us/azure/data-factory/concepts-pipeline-execution-triggers</t>
        </is>
      </c>
      <c r="J31" s="36" t="inlineStr">
        <is>
          <t>Core</t>
        </is>
      </c>
      <c r="K31" s="36" t="inlineStr">
        <is>
          <t>Ch 6</t>
        </is>
      </c>
    </row>
    <row r="32" ht="54" customHeight="1" s="88">
      <c r="A32" s="38" t="inlineStr">
        <is>
          <t>6. Copy &amp; Bad Rows</t>
        </is>
      </c>
      <c r="B32" s="38" t="n">
        <v>25</v>
      </c>
      <c r="C32" s="38" t="inlineStr">
        <is>
          <t>Copy Activity Fundamentals</t>
        </is>
      </c>
      <c r="D32" s="38" t="inlineStr">
        <is>
          <t>Understand source → read/serialize → map/convert → write/sink flow.</t>
        </is>
      </c>
      <c r="E32" s="38" t="inlineStr">
        <is>
          <t>Explain where Copy runs and what it does itself versus what downstream engines do.</t>
        </is>
      </c>
      <c r="F32" s="98" t="n">
        <v>3</v>
      </c>
      <c r="G32" s="38" t="inlineStr">
        <is>
          <t>Design one cloud-to-cloud and one hybrid copy pipeline.</t>
        </is>
      </c>
      <c r="H32" s="38" t="inlineStr">
        <is>
          <t>Copy Activity</t>
        </is>
      </c>
      <c r="I32" s="38" t="inlineStr">
        <is>
          <t>https://learn.microsoft.com/en-us/azure/data-factory/copy-activity-overview</t>
        </is>
      </c>
      <c r="J32" s="38" t="inlineStr">
        <is>
          <t>Core</t>
        </is>
      </c>
      <c r="K32" s="38" t="inlineStr">
        <is>
          <t>Ch 7</t>
        </is>
      </c>
    </row>
    <row r="33" ht="54" customHeight="1" s="88">
      <c r="A33" s="36" t="inlineStr">
        <is>
          <t>6. Copy &amp; Bad Rows</t>
        </is>
      </c>
      <c r="B33" s="36" t="n">
        <v>26</v>
      </c>
      <c r="C33" s="36" t="inlineStr">
        <is>
          <t>Connectors, Formats and Capability Matrix</t>
        </is>
      </c>
      <c r="D33" s="36" t="inlineStr">
        <is>
          <t>Understand that connector capability is connector/version-specific and should be verified against current Microsoft documentation.</t>
        </is>
      </c>
      <c r="E33" s="36" t="inlineStr">
        <is>
          <t>Avoid memorising stale source-only/sink-only lists; verify capability when designing.</t>
        </is>
      </c>
      <c r="F33" s="99" t="n">
        <v>3</v>
      </c>
      <c r="G33" s="36" t="inlineStr">
        <is>
          <t>Build a connector capability checklist for SQL, Oracle, S3, ADLS and REST.</t>
        </is>
      </c>
      <c r="H33" s="36" t="inlineStr">
        <is>
          <t>Connectors</t>
        </is>
      </c>
      <c r="I33" s="36" t="inlineStr">
        <is>
          <t>https://learn.microsoft.com/en-us/azure/data-factory/connector-overview</t>
        </is>
      </c>
      <c r="J33" s="36" t="inlineStr">
        <is>
          <t>Core</t>
        </is>
      </c>
      <c r="K33" s="36" t="inlineStr">
        <is>
          <t>Ch 7</t>
        </is>
      </c>
    </row>
    <row r="34" ht="54" customHeight="1" s="88">
      <c r="A34" s="38" t="inlineStr">
        <is>
          <t>6. Copy &amp; Bad Rows</t>
        </is>
      </c>
      <c r="B34" s="38" t="n">
        <v>27</v>
      </c>
      <c r="C34" s="38" t="inlineStr">
        <is>
          <t>Schema Mapping and Type Conversion</t>
        </is>
      </c>
      <c r="D34" s="38" t="inlineStr">
        <is>
          <t>Understand column mapping, type conversion, truncation and explicit mapping.</t>
        </is>
      </c>
      <c r="E34" s="38" t="inlineStr">
        <is>
          <t>Identify precision-loss and schema-mismatch risks before production.</t>
        </is>
      </c>
      <c r="F34" s="98" t="n">
        <v>3</v>
      </c>
      <c r="G34" s="38" t="inlineStr">
        <is>
          <t>Create a type-conversion risk checklist.</t>
        </is>
      </c>
      <c r="H34" s="38" t="inlineStr">
        <is>
          <t>Copy Activity</t>
        </is>
      </c>
      <c r="I34" s="38" t="inlineStr">
        <is>
          <t>https://learn.microsoft.com/en-us/azure/data-factory/copy-activity-schema-and-type-mapping</t>
        </is>
      </c>
      <c r="J34" s="38" t="inlineStr">
        <is>
          <t>Core</t>
        </is>
      </c>
      <c r="K34" s="38" t="inlineStr">
        <is>
          <t>Ch 7, Ch 8</t>
        </is>
      </c>
    </row>
    <row r="35" ht="54" customHeight="1" s="88">
      <c r="A35" s="36" t="inlineStr">
        <is>
          <t>6. Copy &amp; Bad Rows</t>
        </is>
      </c>
      <c r="B35" s="36" t="n">
        <v>28</v>
      </c>
      <c r="C35" s="36" t="inlineStr">
        <is>
          <t>Fault Tolerance and Skipped Rows</t>
        </is>
      </c>
      <c r="D35" s="36" t="inlineStr">
        <is>
          <t>Understand incompatible-row behavior, skipped rows and session logs.</t>
        </is>
      </c>
      <c r="E35" s="36" t="inlineStr">
        <is>
          <t>Decide when to fail a load versus quarantine bad records and who owns the resulting data-quality workflow.</t>
        </is>
      </c>
      <c r="F35" s="99" t="n">
        <v>3</v>
      </c>
      <c r="G35" s="36" t="inlineStr">
        <is>
          <t>Design a bad-row quarantine operating model.</t>
        </is>
      </c>
      <c r="H35" s="36" t="inlineStr">
        <is>
          <t>Copy Activity</t>
        </is>
      </c>
      <c r="I35" s="36" t="inlineStr">
        <is>
          <t>https://learn.microsoft.com/en-us/azure/data-factory/copy-activity-fault-tolerance</t>
        </is>
      </c>
      <c r="J35" s="36" t="inlineStr">
        <is>
          <t>Core</t>
        </is>
      </c>
      <c r="K35" s="36" t="inlineStr">
        <is>
          <t>Ch 8, Ch 16</t>
        </is>
      </c>
    </row>
    <row r="36" ht="54" customHeight="1" s="88">
      <c r="A36" s="38" t="inlineStr">
        <is>
          <t>6. Copy &amp; Bad Rows</t>
        </is>
      </c>
      <c r="B36" s="38" t="n">
        <v>29</v>
      </c>
      <c r="C36" s="38" t="inlineStr">
        <is>
          <t>Data Consistency Verification</t>
        </is>
      </c>
      <c r="D36" s="38" t="inlineStr">
        <is>
          <t>Understand what ADF can verify automatically and what it cannot prove.</t>
        </is>
      </c>
      <c r="E36" s="38" t="inlineStr">
        <is>
          <t>Explain why 'verified' does not equal business-level correctness.</t>
        </is>
      </c>
      <c r="F36" s="98" t="n">
        <v>2</v>
      </c>
      <c r="G36" s="38" t="inlineStr">
        <is>
          <t>Define a migration acceptance criterion beyond Copy success.</t>
        </is>
      </c>
      <c r="H36" s="38" t="inlineStr">
        <is>
          <t>Copy Activity</t>
        </is>
      </c>
      <c r="I36" s="38" t="inlineStr">
        <is>
          <t>https://learn.microsoft.com/en-us/azure/data-factory/copy-activity-data-consistency</t>
        </is>
      </c>
      <c r="J36" s="38" t="inlineStr">
        <is>
          <t>Core</t>
        </is>
      </c>
      <c r="K36" s="38" t="inlineStr">
        <is>
          <t>Ch 8, Ch 9</t>
        </is>
      </c>
    </row>
    <row r="37" ht="54" customHeight="1" s="88">
      <c r="A37" s="36" t="inlineStr">
        <is>
          <t>6. Copy &amp; Bad Rows</t>
        </is>
      </c>
      <c r="B37" s="36" t="n">
        <v>30</v>
      </c>
      <c r="C37" s="36" t="inlineStr">
        <is>
          <t>Staged Copy, Resume and Large File Handling</t>
        </is>
      </c>
      <c r="D37" s="36" t="inlineStr">
        <is>
          <t>Understand staged copy, file hierarchy requirements and supported resume scenarios.</t>
        </is>
      </c>
      <c r="E37" s="36" t="inlineStr">
        <is>
          <t>Design recovery around what ADF actually resumes instead of assuming all copies checkpoint.</t>
        </is>
      </c>
      <c r="F37" s="99" t="n">
        <v>3</v>
      </c>
      <c r="G37" s="36" t="inlineStr">
        <is>
          <t>Create a copy-recovery decision tree.</t>
        </is>
      </c>
      <c r="H37" s="36" t="inlineStr">
        <is>
          <t>Copy Activity</t>
        </is>
      </c>
      <c r="I37" s="36" t="inlineStr">
        <is>
          <t>https://learn.microsoft.com/en-us/azure/data-factory/copy-activity-overview</t>
        </is>
      </c>
      <c r="J37" s="36" t="inlineStr">
        <is>
          <t>Core</t>
        </is>
      </c>
      <c r="K37" s="36" t="inlineStr">
        <is>
          <t>Ch 7, Ch 14</t>
        </is>
      </c>
    </row>
    <row r="38" ht="54" customHeight="1" s="88">
      <c r="A38" s="38" t="inlineStr">
        <is>
          <t>7. Reconciliation, Incremental Loading &amp; CDC</t>
        </is>
      </c>
      <c r="B38" s="38" t="n">
        <v>38</v>
      </c>
      <c r="C38" s="38" t="inlineStr">
        <is>
          <t>Reconciliation: Counts, Profiles and Row Fingerprints</t>
        </is>
      </c>
      <c r="D38" s="38" t="inlineStr">
        <is>
          <t>Understand multi-level validation: counts, aggregates, distributions, row hashes and business rules.</t>
        </is>
      </c>
      <c r="E38" s="38" t="inlineStr">
        <is>
          <t>Design reconciliation that can detect offsetting errors, not just matched totals.</t>
        </is>
      </c>
      <c r="F38" s="98" t="n">
        <v>4</v>
      </c>
      <c r="G38" s="38" t="inlineStr">
        <is>
          <t>Create a five-level migration reconciliation plan.</t>
        </is>
      </c>
      <c r="H38" s="38" t="inlineStr">
        <is>
          <t>Data Flow / Assert</t>
        </is>
      </c>
      <c r="I38" s="38" t="inlineStr">
        <is>
          <t>https://learn.microsoft.com/en-us/azure/data-factory/data-flow-assert</t>
        </is>
      </c>
      <c r="J38" s="38" t="inlineStr">
        <is>
          <t>Core</t>
        </is>
      </c>
      <c r="K38" s="38" t="inlineStr">
        <is>
          <t>Ch 9</t>
        </is>
      </c>
    </row>
    <row r="39" ht="54" customHeight="1" s="88">
      <c r="A39" s="36" t="inlineStr">
        <is>
          <t>7. Reconciliation, Incremental Loading &amp; CDC</t>
        </is>
      </c>
      <c r="B39" s="36" t="n">
        <v>39</v>
      </c>
      <c r="C39" s="36" t="inlineStr">
        <is>
          <t>Assert, Error Rows and Business Rules</t>
        </is>
      </c>
      <c r="D39" s="36" t="inlineStr">
        <is>
          <t>Understand data-quality assertions and error handling in Data Flows.</t>
        </is>
      </c>
      <c r="E39" s="36" t="inlineStr">
        <is>
          <t>Turn business rules into explicit acceptance criteria and failure paths.</t>
        </is>
      </c>
      <c r="F39" s="99" t="n">
        <v>3</v>
      </c>
      <c r="G39" s="36" t="inlineStr">
        <is>
          <t>Implement a logical data-quality gate design.</t>
        </is>
      </c>
      <c r="H39" s="36" t="inlineStr">
        <is>
          <t>Data Flow / Assert</t>
        </is>
      </c>
      <c r="I39" s="36" t="inlineStr">
        <is>
          <t>https://learn.microsoft.com/en-us/azure/data-factory/data-flow-assert</t>
        </is>
      </c>
      <c r="J39" s="36" t="inlineStr">
        <is>
          <t>Core</t>
        </is>
      </c>
      <c r="K39" s="36" t="inlineStr">
        <is>
          <t>Ch 9, Ch 12</t>
        </is>
      </c>
    </row>
    <row r="40" ht="54" customHeight="1" s="88">
      <c r="A40" s="38" t="inlineStr">
        <is>
          <t>7. Reconciliation, Incremental Loading &amp; CDC</t>
        </is>
      </c>
      <c r="B40" s="38" t="n">
        <v>31</v>
      </c>
      <c r="C40" s="38" t="inlineStr">
        <is>
          <t>Full Load vs Incremental Load</t>
        </is>
      </c>
      <c r="D40" s="38" t="inlineStr">
        <is>
          <t>Understand initial snapshot, delta loads and when full reload remains appropriate.</t>
        </is>
      </c>
      <c r="E40" s="38" t="inlineStr">
        <is>
          <t>Choose a loading strategy based on source capabilities, volume and recovery needs.</t>
        </is>
      </c>
      <c r="F40" s="98" t="n">
        <v>2</v>
      </c>
      <c r="G40" s="38" t="inlineStr">
        <is>
          <t>Create a load-strategy decision table.</t>
        </is>
      </c>
      <c r="H40" s="38" t="inlineStr">
        <is>
          <t>Incremental Copy</t>
        </is>
      </c>
      <c r="I40" s="38" t="inlineStr">
        <is>
          <t>https://learn.microsoft.com/en-us/azure/data-factory/tutorial-incremental-copy-overview</t>
        </is>
      </c>
      <c r="J40" s="38" t="inlineStr">
        <is>
          <t>Core</t>
        </is>
      </c>
      <c r="K40" s="38" t="inlineStr">
        <is>
          <t>Ch 10</t>
        </is>
      </c>
    </row>
    <row r="41" ht="54" customHeight="1" s="88">
      <c r="A41" s="36" t="inlineStr">
        <is>
          <t>7. Reconciliation, Incremental Loading &amp; CDC</t>
        </is>
      </c>
      <c r="B41" s="36" t="n">
        <v>32</v>
      </c>
      <c r="C41" s="36" t="inlineStr">
        <is>
          <t>Watermark Patterns</t>
        </is>
      </c>
      <c r="D41" s="36" t="inlineStr">
        <is>
          <t>Understand monotonic IDs, last-modified timestamps, high-water marks and delete limitations.</t>
        </is>
      </c>
      <c r="E41" s="36" t="inlineStr">
        <is>
          <t>Design a watermark safely and explain failure cases such as late updates and clock problems.</t>
        </is>
      </c>
      <c r="F41" s="99" t="n">
        <v>3</v>
      </c>
      <c r="G41" s="36" t="inlineStr">
        <is>
          <t>Build a watermark control-table design.</t>
        </is>
      </c>
      <c r="H41" s="36" t="inlineStr">
        <is>
          <t>Incremental Copy</t>
        </is>
      </c>
      <c r="I41" s="36" t="inlineStr">
        <is>
          <t>https://learn.microsoft.com/en-us/azure/data-factory/tutorial-incremental-copy-overview</t>
        </is>
      </c>
      <c r="J41" s="36" t="inlineStr">
        <is>
          <t>Core</t>
        </is>
      </c>
      <c r="K41" s="36" t="inlineStr">
        <is>
          <t>Ch 10</t>
        </is>
      </c>
    </row>
    <row r="42" ht="54" customHeight="1" s="88">
      <c r="A42" s="38" t="inlineStr">
        <is>
          <t>7. Reconciliation, Incremental Loading &amp; CDC</t>
        </is>
      </c>
      <c r="B42" s="38" t="n">
        <v>33</v>
      </c>
      <c r="C42" s="38" t="inlineStr">
        <is>
          <t>Change Tracking and CDC</t>
        </is>
      </c>
      <c r="D42" s="38" t="inlineStr">
        <is>
          <t>Understand Change Tracking vs CDC and their source-system prerequisites.</t>
        </is>
      </c>
      <c r="E42" s="38" t="inlineStr">
        <is>
          <t>Explain when a watermark is insufficient because updates/deletes must be observed.</t>
        </is>
      </c>
      <c r="F42" s="98" t="n">
        <v>4</v>
      </c>
      <c r="G42" s="38" t="inlineStr">
        <is>
          <t>Compare watermark, Change Tracking and CDC for three databases.</t>
        </is>
      </c>
      <c r="H42" s="38" t="inlineStr">
        <is>
          <t>CDC</t>
        </is>
      </c>
      <c r="I42" s="38" t="inlineStr">
        <is>
          <t>https://learn.microsoft.com/en-us/azure/data-factory/concepts-change-data-capture</t>
        </is>
      </c>
      <c r="J42" s="38" t="inlineStr">
        <is>
          <t>Core</t>
        </is>
      </c>
      <c r="K42" s="38" t="inlineStr">
        <is>
          <t>Ch 10, Ch 11</t>
        </is>
      </c>
    </row>
    <row r="43" ht="54" customHeight="1" s="88">
      <c r="A43" s="36" t="inlineStr">
        <is>
          <t>7. Reconciliation, Incremental Loading &amp; CDC</t>
        </is>
      </c>
      <c r="B43" s="36" t="n">
        <v>35</v>
      </c>
      <c r="C43" s="36" t="inlineStr">
        <is>
          <t>Metadata-Driven Pipelines</t>
        </is>
      </c>
      <c r="D43" s="36" t="inlineStr">
        <is>
          <t>Understand control tables, reusable pipelines, parameterised datasets and dynamic execution.</t>
        </is>
      </c>
      <c r="E43" s="36" t="inlineStr">
        <is>
          <t>Design one pipeline serving many tables without turning the metadata layer into an ungoverned framework.</t>
        </is>
      </c>
      <c r="F43" s="99" t="n">
        <v>4</v>
      </c>
      <c r="G43" s="36" t="inlineStr">
        <is>
          <t>Design a metadata-driven ingestion framework.</t>
        </is>
      </c>
      <c r="H43" s="36" t="inlineStr">
        <is>
          <t>Templates / Parameters</t>
        </is>
      </c>
      <c r="I43" s="36" t="inlineStr">
        <is>
          <t>https://learn.microsoft.com/en-us/azure/data-factory/solution-template-bulk-copy-with-control-table</t>
        </is>
      </c>
      <c r="J43" s="36" t="inlineStr">
        <is>
          <t>Core</t>
        </is>
      </c>
      <c r="K43" s="36" t="inlineStr">
        <is>
          <t>Ch 10, Ch 20</t>
        </is>
      </c>
    </row>
    <row r="44" ht="54" customHeight="1" s="88">
      <c r="A44" s="38" t="inlineStr">
        <is>
          <t>7. Reconciliation, Incremental Loading &amp; CDC</t>
        </is>
      </c>
      <c r="B44" s="38" t="n">
        <v>34</v>
      </c>
      <c r="C44" s="38" t="inlineStr">
        <is>
          <t>CDC Checkpoints and Rename Risk</t>
        </is>
      </c>
      <c r="D44" s="38" t="inlineStr">
        <is>
          <t>Understand checkpoint identity, current Microsoft documentation differences and explicit-key practices.</t>
        </is>
      </c>
      <c r="E44" s="38" t="inlineStr">
        <is>
          <t>Explain the current uncertainty accurately instead of giving a universal rename rule.</t>
        </is>
      </c>
      <c r="F44" s="98" t="n">
        <v>2</v>
      </c>
      <c r="G44" s="38" t="inlineStr">
        <is>
          <t>Write a CDC rename/change-management runbook.</t>
        </is>
      </c>
      <c r="H44" s="38" t="inlineStr">
        <is>
          <t>CDC</t>
        </is>
      </c>
      <c r="I44" s="38" t="inlineStr">
        <is>
          <t>https://learn.microsoft.com/en-us/azure/data-factory/concepts-change-data-capture</t>
        </is>
      </c>
      <c r="J44" s="38" t="inlineStr">
        <is>
          <t>Core</t>
        </is>
      </c>
      <c r="K44" s="38" t="inlineStr">
        <is>
          <t>Ch 11</t>
        </is>
      </c>
    </row>
    <row r="45" ht="54" customHeight="1" s="88">
      <c r="A45" s="36" t="inlineStr">
        <is>
          <t>8. Data Flows &amp; Transformation</t>
        </is>
      </c>
      <c r="B45" s="36" t="n">
        <v>36</v>
      </c>
      <c r="C45" s="36" t="inlineStr">
        <is>
          <t>Mapping Data Flows</t>
        </is>
      </c>
      <c r="D45" s="36" t="inlineStr">
        <is>
          <t>Understand visual transformations running on ADF-managed Spark.</t>
        </is>
      </c>
      <c r="E45" s="36" t="inlineStr">
        <is>
          <t>Know when Mapping Data Flow is appropriate versus Databricks or SQL.</t>
        </is>
      </c>
      <c r="F45" s="99" t="n">
        <v>3</v>
      </c>
      <c r="G45" s="36" t="inlineStr">
        <is>
          <t>Create a transformation-selection matrix.</t>
        </is>
      </c>
      <c r="H45" s="36" t="inlineStr">
        <is>
          <t>Data Flow</t>
        </is>
      </c>
      <c r="I45" s="36" t="inlineStr">
        <is>
          <t>https://learn.microsoft.com/en-us/azure/data-factory/concepts-data-flow-overview</t>
        </is>
      </c>
      <c r="J45" s="36" t="inlineStr">
        <is>
          <t>Core</t>
        </is>
      </c>
      <c r="K45" s="36" t="inlineStr">
        <is>
          <t>Ch 12</t>
        </is>
      </c>
    </row>
    <row r="46" ht="54" customHeight="1" s="88">
      <c r="A46" s="38" t="inlineStr">
        <is>
          <t>8. Data Flows &amp; Transformation</t>
        </is>
      </c>
      <c r="B46" s="38" t="n">
        <v>37</v>
      </c>
      <c r="C46" s="38" t="inlineStr">
        <is>
          <t>Schema Drift and Data Flow Design</t>
        </is>
      </c>
      <c r="D46" s="38" t="inlineStr">
        <is>
          <t>Understand schema drift and how it affects resilient ingestion.</t>
        </is>
      </c>
      <c r="E46" s="38" t="inlineStr">
        <is>
          <t>Make schema evolution a deliberate design decision rather than an accidental behavior.</t>
        </is>
      </c>
      <c r="F46" s="98" t="n">
        <v>2</v>
      </c>
      <c r="G46" s="38" t="inlineStr">
        <is>
          <t>Define schema-evolution rules for a lake ingestion domain.</t>
        </is>
      </c>
      <c r="H46" s="38" t="inlineStr">
        <is>
          <t>Data Flow</t>
        </is>
      </c>
      <c r="I46" s="38" t="inlineStr">
        <is>
          <t>https://learn.microsoft.com/en-us/azure/data-factory/concepts-data-flow-schema-drift</t>
        </is>
      </c>
      <c r="J46" s="38" t="inlineStr">
        <is>
          <t>Core</t>
        </is>
      </c>
      <c r="K46" s="38" t="inlineStr">
        <is>
          <t>Ch 12</t>
        </is>
      </c>
    </row>
    <row r="47" ht="54" customHeight="1" s="88">
      <c r="A47" s="36" t="inlineStr">
        <is>
          <t>8. Data Flows &amp; Transformation</t>
        </is>
      </c>
      <c r="B47" s="36" t="n">
        <v>40</v>
      </c>
      <c r="C47" s="36" t="inlineStr">
        <is>
          <t>Data Flow Performance Fundamentals</t>
        </is>
      </c>
      <c r="D47" s="36" t="inlineStr">
        <is>
          <t>Understand cluster startup, TTL, partitioning, skew and shuffle-related tuning.</t>
        </is>
      </c>
      <c r="E47" s="36" t="inlineStr">
        <is>
          <t>Diagnose the actual bottleneck before changing cluster size or partition settings.</t>
        </is>
      </c>
      <c r="F47" s="99" t="n">
        <v>4</v>
      </c>
      <c r="G47" s="36" t="inlineStr">
        <is>
          <t>Create a Data Flow performance troubleshooting checklist.</t>
        </is>
      </c>
      <c r="H47" s="36" t="inlineStr">
        <is>
          <t>Performance</t>
        </is>
      </c>
      <c r="I47" s="36" t="inlineStr">
        <is>
          <t>https://learn.microsoft.com/en-us/azure/data-factory/concepts-data-flow-performance</t>
        </is>
      </c>
      <c r="J47" s="36" t="inlineStr">
        <is>
          <t>Core</t>
        </is>
      </c>
      <c r="K47" s="36" t="inlineStr">
        <is>
          <t>Ch 12, Ch 18</t>
        </is>
      </c>
    </row>
    <row r="48" ht="54" customHeight="1" s="88">
      <c r="A48" s="38" t="inlineStr">
        <is>
          <t>9. Monitoring &amp; Recovery</t>
        </is>
      </c>
      <c r="B48" s="38" t="n">
        <v>44</v>
      </c>
      <c r="C48" s="38" t="inlineStr">
        <is>
          <t>Monitoring, Alerts and Run History</t>
        </is>
      </c>
      <c r="D48" s="38" t="inlineStr">
        <is>
          <t>Understand pipeline runs, activity runs, diagnostics, alerts and retention.</t>
        </is>
      </c>
      <c r="E48" s="38" t="inlineStr">
        <is>
          <t>Define what operations should monitor beyond a green pipeline status.</t>
        </is>
      </c>
      <c r="F48" s="98" t="n">
        <v>3</v>
      </c>
      <c r="G48" s="38" t="inlineStr">
        <is>
          <t>Create a production monitoring checklist and alert matrix.</t>
        </is>
      </c>
      <c r="H48" s="38" t="inlineStr">
        <is>
          <t>Monitoring</t>
        </is>
      </c>
      <c r="I48" s="38" t="inlineStr">
        <is>
          <t>https://learn.microsoft.com/en-us/azure/data-factory/monitor-data-factory</t>
        </is>
      </c>
      <c r="J48" s="38" t="inlineStr">
        <is>
          <t>Core</t>
        </is>
      </c>
      <c r="K48" s="38" t="inlineStr">
        <is>
          <t>Ch 13</t>
        </is>
      </c>
    </row>
    <row r="49" ht="54" customHeight="1" s="88">
      <c r="A49" s="36" t="inlineStr">
        <is>
          <t>9. Monitoring &amp; Recovery</t>
        </is>
      </c>
      <c r="B49" s="36" t="n">
        <v>50</v>
      </c>
      <c r="C49" s="36" t="inlineStr">
        <is>
          <t>Reliability, Idempotency and Recovery</t>
        </is>
      </c>
      <c r="D49" s="36" t="inlineStr">
        <is>
          <t>Understand transient failures, retries, duplicate risk, reruns and regional/zone recovery concepts.</t>
        </is>
      </c>
      <c r="E49" s="36" t="inlineStr">
        <is>
          <t>Design reruns that are safe and explain reliability as a shared responsibility.</t>
        </is>
      </c>
      <c r="F49" s="99" t="n">
        <v>4</v>
      </c>
      <c r="G49" s="36" t="inlineStr">
        <is>
          <t>Write an incident-recovery runbook for a failed nightly load.</t>
        </is>
      </c>
      <c r="H49" s="36" t="inlineStr">
        <is>
          <t>Reliability</t>
        </is>
      </c>
      <c r="I49" s="36" t="inlineStr">
        <is>
          <t>https://learn.microsoft.com/en-us/azure/reliability/reliability-data-factory</t>
        </is>
      </c>
      <c r="J49" s="36" t="inlineStr">
        <is>
          <t>Core</t>
        </is>
      </c>
      <c r="K49" s="36" t="inlineStr">
        <is>
          <t>Ch 14, Ch 19</t>
        </is>
      </c>
    </row>
    <row r="50" ht="54" customHeight="1" s="88">
      <c r="A50" s="38" t="inlineStr">
        <is>
          <t>10. Security &amp; Sensitive Data</t>
        </is>
      </c>
      <c r="B50" s="38" t="n">
        <v>41</v>
      </c>
      <c r="C50" s="38" t="inlineStr">
        <is>
          <t>Managed Identity, Key Vault and Authentication</t>
        </is>
      </c>
      <c r="D50" s="38" t="inlineStr">
        <is>
          <t>Understand identity choices, secrets management and connector-specific authentication.</t>
        </is>
      </c>
      <c r="E50" s="38" t="inlineStr">
        <is>
          <t>Design credential handling without hard-coding secrets and explain authentication trade-offs.</t>
        </is>
      </c>
      <c r="F50" s="98" t="n">
        <v>3</v>
      </c>
      <c r="G50" s="38" t="inlineStr">
        <is>
          <t>Create an enterprise credential-management pattern.</t>
        </is>
      </c>
      <c r="H50" s="38" t="inlineStr">
        <is>
          <t>Security</t>
        </is>
      </c>
      <c r="I50" s="38" t="inlineStr">
        <is>
          <t>https://learn.microsoft.com/en-us/azure/data-factory/credentials</t>
        </is>
      </c>
      <c r="J50" s="38" t="inlineStr">
        <is>
          <t>Core</t>
        </is>
      </c>
      <c r="K50" s="38" t="inlineStr">
        <is>
          <t>Ch 15, Ch 16</t>
        </is>
      </c>
    </row>
    <row r="51" ht="54" customHeight="1" s="88">
      <c r="A51" s="36" t="inlineStr">
        <is>
          <t>10. Security &amp; Sensitive Data</t>
        </is>
      </c>
      <c r="B51" s="36" t="n">
        <v>42</v>
      </c>
      <c r="C51" s="36" t="inlineStr">
        <is>
          <t>CMK and Factory Encryption</t>
        </is>
      </c>
      <c r="D51" s="36" t="inlineStr">
        <is>
          <t>Understand CMK setup paths, prerequisites, immutability and key-management consequences.</t>
        </is>
      </c>
      <c r="E51" s="36" t="inlineStr">
        <is>
          <t>Explain when encryption choices must be made early in the factory lifecycle.</t>
        </is>
      </c>
      <c r="F51" s="99" t="n">
        <v>2</v>
      </c>
      <c r="G51" s="36" t="inlineStr">
        <is>
          <t>Create a CMK decision checklist.</t>
        </is>
      </c>
      <c r="H51" s="36" t="inlineStr">
        <is>
          <t>Security</t>
        </is>
      </c>
      <c r="I51" s="36" t="inlineStr">
        <is>
          <t>https://learn.microsoft.com/en-us/azure/data-factory/enable-customer-managed-key</t>
        </is>
      </c>
      <c r="J51" s="36" t="inlineStr">
        <is>
          <t>Core</t>
        </is>
      </c>
      <c r="K51" s="36" t="inlineStr">
        <is>
          <t>Ch 15, Ch 16</t>
        </is>
      </c>
    </row>
    <row r="52" ht="54" customHeight="1" s="88">
      <c r="A52" s="38" t="inlineStr">
        <is>
          <t>10. Security &amp; Sensitive Data</t>
        </is>
      </c>
      <c r="B52" s="38" t="n">
        <v>43</v>
      </c>
      <c r="C52" s="38" t="inlineStr">
        <is>
          <t>Trusted Service: Legacy vs Modern</t>
        </is>
      </c>
      <c r="D52" s="38" t="inlineStr">
        <is>
          <t>Understand Legacy/Modern trusted-service modes and the enterprise migration implication.</t>
        </is>
      </c>
      <c r="E52" s="38" t="inlineStr">
        <is>
          <t>Explain the current recommended direction and avoid assuming firewall bypass is timeless.</t>
        </is>
      </c>
      <c r="F52" s="98" t="n">
        <v>2</v>
      </c>
      <c r="G52" s="38" t="inlineStr">
        <is>
          <t>Create a legacy-to-modern migration watch item.</t>
        </is>
      </c>
      <c r="H52" s="38" t="inlineStr">
        <is>
          <t>Security</t>
        </is>
      </c>
      <c r="I52" s="38" t="inlineStr">
        <is>
          <t>https://learn.microsoft.com/en-us/azure/data-factory/modern-trusted-service</t>
        </is>
      </c>
      <c r="J52" s="38" t="inlineStr">
        <is>
          <t>Core</t>
        </is>
      </c>
      <c r="K52" s="38" t="inlineStr">
        <is>
          <t>Ch 15, Ch 16</t>
        </is>
      </c>
    </row>
    <row r="53" ht="54" customHeight="1" s="88">
      <c r="A53" s="36" t="inlineStr">
        <is>
          <t>10. Security &amp; Sensitive Data</t>
        </is>
      </c>
      <c r="B53" s="36" t="n">
        <v>45</v>
      </c>
      <c r="C53" s="36" t="inlineStr">
        <is>
          <t>Operational Logging and Sensitive Data</t>
        </is>
      </c>
      <c r="D53" s="36" t="inlineStr">
        <is>
          <t>Understand secureInput/secureOutput, monitoring exposure and the risks of session logs/data preview.</t>
        </is>
      </c>
      <c r="E53" s="36" t="inlineStr">
        <is>
          <t>Design logging that supports operations without unnecessarily exposing sensitive data.</t>
        </is>
      </c>
      <c r="F53" s="99" t="n">
        <v>3</v>
      </c>
      <c r="G53" s="36" t="inlineStr">
        <is>
          <t>Design a regulated-data monitoring policy.</t>
        </is>
      </c>
      <c r="H53" s="36" t="inlineStr">
        <is>
          <t>Security / Monitoring</t>
        </is>
      </c>
      <c r="I53" s="36" t="inlineStr">
        <is>
          <t>https://learn.microsoft.com/en-us/azure/data-factory/secure-your-azure-data-factory</t>
        </is>
      </c>
      <c r="J53" s="36" t="inlineStr">
        <is>
          <t>Core</t>
        </is>
      </c>
      <c r="K53" s="36" t="inlineStr">
        <is>
          <t>Ch 15, Ch 16</t>
        </is>
      </c>
    </row>
    <row r="54" ht="54" customHeight="1" s="88">
      <c r="A54" s="38" t="inlineStr">
        <is>
          <t>11. Performance, Cost &amp; Concurrency</t>
        </is>
      </c>
      <c r="B54" s="38" t="n">
        <v>51</v>
      </c>
      <c r="C54" s="38" t="inlineStr">
        <is>
          <t>Copy Performance: DIUs, Parallel Copies and Bottlenecks</t>
        </is>
      </c>
      <c r="D54" s="38" t="inlineStr">
        <is>
          <t>Understand DIUs, parallel copies, queueing, source latency and sink throttling.</t>
        </is>
      </c>
      <c r="E54" s="38" t="inlineStr">
        <is>
          <t>Diagnose the slowest stage before scaling compute and articulate the cost/speed trade-off.</t>
        </is>
      </c>
      <c r="F54" s="98" t="n">
        <v>4</v>
      </c>
      <c r="G54" s="38" t="inlineStr">
        <is>
          <t>Create a Copy performance diagnosis decision tree.</t>
        </is>
      </c>
      <c r="H54" s="38" t="inlineStr">
        <is>
          <t>Performance</t>
        </is>
      </c>
      <c r="I54" s="38" t="inlineStr">
        <is>
          <t>https://learn.microsoft.com/en-us/azure/data-factory/copy-activity-performance-features</t>
        </is>
      </c>
      <c r="J54" s="38" t="inlineStr">
        <is>
          <t>Core</t>
        </is>
      </c>
      <c r="K54" s="38" t="inlineStr">
        <is>
          <t>Ch 17, Ch 18</t>
        </is>
      </c>
    </row>
    <row r="55" ht="54" customHeight="1" s="88">
      <c r="A55" s="36" t="inlineStr">
        <is>
          <t>11. Performance, Cost &amp; Concurrency</t>
        </is>
      </c>
      <c r="B55" s="36" t="n">
        <v>52</v>
      </c>
      <c r="C55" s="36" t="inlineStr">
        <is>
          <t>ADF Cost Model and FinOps</t>
        </is>
      </c>
      <c r="D55" s="36" t="inlineStr">
        <is>
          <t>Understand orchestration runs, DIU-hours, vCore-hours, SSIS and other operation costs.</t>
        </is>
      </c>
      <c r="E55" s="36" t="inlineStr">
        <is>
          <t>Estimate cost from workload behavior and identify levers that reduce spend without breaking SLA.</t>
        </is>
      </c>
      <c r="F55" s="99" t="n">
        <v>3</v>
      </c>
      <c r="G55" s="36" t="inlineStr">
        <is>
          <t>Build a simple ADF cost-driver model.</t>
        </is>
      </c>
      <c r="H55" s="36" t="inlineStr">
        <is>
          <t>Cost</t>
        </is>
      </c>
      <c r="I55" s="36" t="inlineStr">
        <is>
          <t>https://learn.microsoft.com/en-us/azure/data-factory/plan-manage-costs</t>
        </is>
      </c>
      <c r="J55" s="36" t="inlineStr">
        <is>
          <t>Core</t>
        </is>
      </c>
      <c r="K55" s="36" t="inlineStr">
        <is>
          <t>Ch 17</t>
        </is>
      </c>
    </row>
    <row r="56" ht="54" customHeight="1" s="88">
      <c r="A56" s="38" t="inlineStr">
        <is>
          <t>11. Performance, Cost &amp; Concurrency</t>
        </is>
      </c>
      <c r="B56" s="38" t="n">
        <v>53</v>
      </c>
      <c r="C56" s="38" t="inlineStr">
        <is>
          <t>Scale and Concurrency Trade-offs</t>
        </is>
      </c>
      <c r="D56" s="38" t="inlineStr">
        <is>
          <t>Understand pipeline concurrency, ForEach concurrency, source pressure and destination limits.</t>
        </is>
      </c>
      <c r="E56" s="38" t="inlineStr">
        <is>
          <t>Balance throughput, recovery, fairness and source-system safety.</t>
        </is>
      </c>
      <c r="F56" s="98" t="n">
        <v>3</v>
      </c>
      <c r="G56" s="38" t="inlineStr">
        <is>
          <t>Design a concurrency budget for a multi-source platform.</t>
        </is>
      </c>
      <c r="H56" s="38" t="inlineStr">
        <is>
          <t>Performance / Control Flow</t>
        </is>
      </c>
      <c r="I56" s="38" t="inlineStr">
        <is>
          <t>https://learn.microsoft.com/en-us/azure/data-factory/concepts-pipelines-activities</t>
        </is>
      </c>
      <c r="J56" s="38" t="inlineStr">
        <is>
          <t>Core</t>
        </is>
      </c>
      <c r="K56" s="38" t="inlineStr">
        <is>
          <t>Ch 4, Ch 18, Ch 23</t>
        </is>
      </c>
    </row>
    <row r="57" ht="54" customHeight="1" s="88">
      <c r="A57" s="36" t="inlineStr">
        <is>
          <t>12. CI/CD &amp; Infrastructure as Code</t>
        </is>
      </c>
      <c r="B57" s="36" t="n">
        <v>46</v>
      </c>
      <c r="C57" s="36" t="inlineStr">
        <is>
          <t>Git Integration and Collaboration</t>
        </is>
      </c>
      <c r="D57" s="36" t="inlineStr">
        <is>
          <t>Understand source control, collaboration, pull requests and environment separation.</t>
        </is>
      </c>
      <c r="E57" s="36" t="inlineStr">
        <is>
          <t>Explain why Git is the source of truth without claiming it is a universal ADF product requirement.</t>
        </is>
      </c>
      <c r="F57" s="99" t="n">
        <v>2</v>
      </c>
      <c r="G57" s="36" t="inlineStr">
        <is>
          <t>Create an ADF branch/PR strategy.</t>
        </is>
      </c>
      <c r="H57" s="36" t="inlineStr">
        <is>
          <t>CI/CD</t>
        </is>
      </c>
      <c r="I57" s="36" t="inlineStr">
        <is>
          <t>https://learn.microsoft.com/en-us/azure/data-factory/continuous-integration-delivery-improvements</t>
        </is>
      </c>
      <c r="J57" s="36" t="inlineStr">
        <is>
          <t>Core</t>
        </is>
      </c>
      <c r="K57" s="36" t="inlineStr">
        <is>
          <t>Ch 19</t>
        </is>
      </c>
    </row>
    <row r="58" ht="54" customHeight="1" s="88">
      <c r="A58" s="38" t="inlineStr">
        <is>
          <t>12. CI/CD &amp; Infrastructure as Code</t>
        </is>
      </c>
      <c r="B58" s="38" t="n">
        <v>47</v>
      </c>
      <c r="C58" s="38" t="inlineStr">
        <is>
          <t>ARM Templates and Automated Publishing</t>
        </is>
      </c>
      <c r="D58" s="38" t="inlineStr">
        <is>
          <t>Understand `adf_publish`, automated validation/export and deployment artifacts.</t>
        </is>
      </c>
      <c r="E58" s="38" t="inlineStr">
        <is>
          <t>Explain both supported template-generation approaches and their operational trade-offs.</t>
        </is>
      </c>
      <c r="F58" s="98" t="n">
        <v>3</v>
      </c>
      <c r="G58" s="38" t="inlineStr">
        <is>
          <t>Design a Dev→Test→Prod deployment flow.</t>
        </is>
      </c>
      <c r="H58" s="38" t="inlineStr">
        <is>
          <t>CI/CD</t>
        </is>
      </c>
      <c r="I58" s="38" t="inlineStr">
        <is>
          <t>https://learn.microsoft.com/en-us/azure/data-factory/continuous-integration-delivery-improvements</t>
        </is>
      </c>
      <c r="J58" s="38" t="inlineStr">
        <is>
          <t>Core</t>
        </is>
      </c>
      <c r="K58" s="38" t="inlineStr">
        <is>
          <t>Ch 19</t>
        </is>
      </c>
    </row>
    <row r="59" ht="54" customHeight="1" s="88">
      <c r="A59" s="36" t="inlineStr">
        <is>
          <t>12. CI/CD &amp; Infrastructure as Code</t>
        </is>
      </c>
      <c r="B59" s="36" t="n">
        <v>48</v>
      </c>
      <c r="C59" s="36" t="inlineStr">
        <is>
          <t>Bicep and Infrastructure as Code</t>
        </is>
      </c>
      <c r="D59" s="36" t="inlineStr">
        <is>
          <t>Understand where Bicep complements ADF resource deployment and environment provisioning.</t>
        </is>
      </c>
      <c r="E59" s="36" t="inlineStr">
        <is>
          <t>Explain what belongs in infrastructure-as-code versus factory content deployment.</t>
        </is>
      </c>
      <c r="F59" s="99" t="n">
        <v>2</v>
      </c>
      <c r="G59" s="36" t="inlineStr">
        <is>
          <t>Draft an ADF environment provisioning outline in Bicep.</t>
        </is>
      </c>
      <c r="H59" s="36" t="inlineStr">
        <is>
          <t>IaC</t>
        </is>
      </c>
      <c r="I59" s="36" t="inlineStr">
        <is>
          <t>https://learn.microsoft.com/en-us/azure/data-factory/quickstart-create-data-factory-bicep</t>
        </is>
      </c>
      <c r="J59" s="36" t="inlineStr">
        <is>
          <t>Core</t>
        </is>
      </c>
      <c r="K59" s="36" t="inlineStr">
        <is>
          <t>Ch 15, Ch 19</t>
        </is>
      </c>
    </row>
    <row r="60" ht="54" customHeight="1" s="88">
      <c r="A60" s="38" t="inlineStr">
        <is>
          <t>12. CI/CD &amp; Infrastructure as Code</t>
        </is>
      </c>
      <c r="B60" s="38" t="n">
        <v>49</v>
      </c>
      <c r="C60" s="38" t="inlineStr">
        <is>
          <t>Deployment Parameters, Global Parameters and Trigger Handling</t>
        </is>
      </c>
      <c r="D60" s="38" t="inlineStr">
        <is>
          <t>Understand parameterisation across environments and the operational implications of active triggers.</t>
        </is>
      </c>
      <c r="E60" s="38" t="inlineStr">
        <is>
          <t>Build a release checklist that separates product changes from environment configuration.</t>
        </is>
      </c>
      <c r="F60" s="98" t="n">
        <v>3</v>
      </c>
      <c r="G60" s="38" t="inlineStr">
        <is>
          <t>Create a deployment readiness checklist.</t>
        </is>
      </c>
      <c r="H60" s="38" t="inlineStr">
        <is>
          <t>CI/CD</t>
        </is>
      </c>
      <c r="I60" s="38" t="inlineStr">
        <is>
          <t>https://learn.microsoft.com/en-us/azure/data-factory/continuous-integration-delivery-sample-script</t>
        </is>
      </c>
      <c r="J60" s="38" t="inlineStr">
        <is>
          <t>Core</t>
        </is>
      </c>
      <c r="K60" s="38" t="inlineStr">
        <is>
          <t>Ch 13, Ch 19</t>
        </is>
      </c>
    </row>
    <row r="61" ht="54" customHeight="1" s="88">
      <c r="A61" s="36" t="inlineStr">
        <is>
          <t>13. Migration, Service Choice &amp; Fabric</t>
        </is>
      </c>
      <c r="B61" s="36" t="n">
        <v>58</v>
      </c>
      <c r="C61" s="36" t="inlineStr">
        <is>
          <t>Enterprise Migration Architecture</t>
        </is>
      </c>
      <c r="D61" s="36" t="inlineStr">
        <is>
          <t>Combine connectivity, control tables, incremental loads, reconciliation, security, CI/CD, monitoring and cutover.</t>
        </is>
      </c>
      <c r="E61" s="36" t="inlineStr">
        <is>
          <t>Design a migration plan that an EM/Program Manager can challenge on risk, ownership, throughput and recovery.</t>
        </is>
      </c>
      <c r="F61" s="99" t="n">
        <v>6</v>
      </c>
      <c r="G61" s="36" t="inlineStr">
        <is>
          <t>Complete an end-to-end 100–500 table Azure migration architecture case.</t>
        </is>
      </c>
      <c r="H61" s="36" t="inlineStr">
        <is>
          <t>Migration</t>
        </is>
      </c>
      <c r="I61" s="36" t="inlineStr">
        <is>
          <t>https://learn.microsoft.com/en-us/azure/data-factory/data-migration-guidance-overview</t>
        </is>
      </c>
      <c r="J61" s="36" t="inlineStr">
        <is>
          <t>Core</t>
        </is>
      </c>
      <c r="K61" s="36" t="inlineStr">
        <is>
          <t>Ch 9, Ch 14, Ch 20, Ch 23</t>
        </is>
      </c>
    </row>
    <row r="62" ht="54" customHeight="1" s="88">
      <c r="A62" s="38" t="inlineStr">
        <is>
          <t>13. Migration, Service Choice &amp; Fabric</t>
        </is>
      </c>
      <c r="B62" s="38" t="n">
        <v>2</v>
      </c>
      <c r="C62" s="38" t="inlineStr">
        <is>
          <t>ADF vs Databricks vs Synapse vs Fabric Data Factory</t>
        </is>
      </c>
      <c r="D62" s="38" t="inlineStr">
        <is>
          <t>Understand where ADF, Databricks, Synapse and Fabric Data Factory overlap and where they serve different architectural roles.</t>
        </is>
      </c>
      <c r="E62" s="38" t="inlineStr">
        <is>
          <t>Choose the right service for orchestration, transformation, lakehouse processing and integrated analytics, with explicit trade-offs.</t>
        </is>
      </c>
      <c r="F62" s="98" t="n">
        <v>2</v>
      </c>
      <c r="G62" s="38" t="inlineStr">
        <is>
          <t>Create a service-selection matrix for 4 common enterprise scenarios.</t>
        </is>
      </c>
      <c r="H62" s="38" t="inlineStr">
        <is>
          <t>Overview / Fabric</t>
        </is>
      </c>
      <c r="I62" s="38" t="inlineStr">
        <is>
          <t>https://learn.microsoft.com/en-us/fabric/data-factory/compare-fabric-data-factory-and-azure-data-factory</t>
        </is>
      </c>
      <c r="J62" s="38" t="inlineStr">
        <is>
          <t>Core</t>
        </is>
      </c>
      <c r="K62" s="38" t="inlineStr">
        <is>
          <t>Ch 21</t>
        </is>
      </c>
    </row>
    <row r="63" ht="54" customHeight="1" s="88">
      <c r="A63" s="36" t="inlineStr">
        <is>
          <t>13. Migration, Service Choice &amp; Fabric</t>
        </is>
      </c>
      <c r="B63" s="36" t="n">
        <v>54</v>
      </c>
      <c r="C63" s="36" t="inlineStr">
        <is>
          <t>Architecture Trade-offs: ADF vs Databricks vs Synapse</t>
        </is>
      </c>
      <c r="D63" s="36" t="inlineStr">
        <is>
          <t>Reason about orchestration vs transformation vs SQL analytics and platform ownership.</t>
        </is>
      </c>
      <c r="E63" s="36" t="inlineStr">
        <is>
          <t>Defend architecture choices with performance, cost, operational and team-skill trade-offs.</t>
        </is>
      </c>
      <c r="F63" s="99" t="n">
        <v>3</v>
      </c>
      <c r="G63" s="36" t="inlineStr">
        <is>
          <t>Present an architecture choice for a lakehouse ingestion platform.</t>
        </is>
      </c>
      <c r="H63" s="36" t="inlineStr">
        <is>
          <t>Architecture</t>
        </is>
      </c>
      <c r="I63" s="36" t="inlineStr">
        <is>
          <t>https://learn.microsoft.com/en-us/azure/architecture/</t>
        </is>
      </c>
      <c r="J63" s="36" t="inlineStr">
        <is>
          <t>Core</t>
        </is>
      </c>
      <c r="K63" s="36" t="inlineStr">
        <is>
          <t>Ch 12, Ch 21, Ch 23</t>
        </is>
      </c>
    </row>
    <row r="64" ht="54" customHeight="1" s="88">
      <c r="A64" s="38" t="inlineStr">
        <is>
          <t>13. Migration, Service Choice &amp; Fabric</t>
        </is>
      </c>
      <c r="B64" s="38" t="n">
        <v>57</v>
      </c>
      <c r="C64" s="38" t="inlineStr">
        <is>
          <t>ADF vs Fabric Data Factory in 2026</t>
        </is>
      </c>
      <c r="D64" s="38" t="inlineStr">
        <is>
          <t>Understand Microsoft's current Fabric positioning, migration considerations and capability differences.</t>
        </is>
      </c>
      <c r="E64" s="38" t="inlineStr">
        <is>
          <t>Answer 'Would you build new pipelines in ADF or Fabric?' with current, nuanced reasoning.</t>
        </is>
      </c>
      <c r="F64" s="98" t="n">
        <v>3</v>
      </c>
      <c r="G64" s="38" t="inlineStr">
        <is>
          <t>Prepare a 3-minute ADF vs Fabric executive answer.</t>
        </is>
      </c>
      <c r="H64" s="38" t="inlineStr">
        <is>
          <t>Fabric</t>
        </is>
      </c>
      <c r="I64" s="38" t="inlineStr">
        <is>
          <t>https://learn.microsoft.com/en-us/fabric/data-factory/compare-fabric-data-factory-and-azure-data-factory</t>
        </is>
      </c>
      <c r="J64" s="38" t="inlineStr">
        <is>
          <t>Core</t>
        </is>
      </c>
      <c r="K64" s="38" t="inlineStr">
        <is>
          <t>Ch 22</t>
        </is>
      </c>
    </row>
    <row r="65" ht="54" customHeight="1" s="88">
      <c r="A65" s="36" t="inlineStr">
        <is>
          <t>14. Interview Readiness &amp; Capstones</t>
        </is>
      </c>
      <c r="B65" s="36" t="n">
        <v>59</v>
      </c>
      <c r="C65" s="36" t="inlineStr">
        <is>
          <t>ADF Interview Scenario Drills</t>
        </is>
      </c>
      <c r="D65" s="36" t="inlineStr">
        <is>
          <t>Practice failure, cost, security, migration, reliability and architecture scenarios using the course's scenarios.</t>
        </is>
      </c>
      <c r="E65" s="36" t="inlineStr">
        <is>
          <t>Answer with facts, trade-offs, assumptions, operational consequences and measurable acceptance criteria.</t>
        </is>
      </c>
      <c r="F65" s="99" t="n">
        <v>6</v>
      </c>
      <c r="G65" s="36" t="inlineStr">
        <is>
          <t>Record or write answers to 10 ADF interview scenarios.</t>
        </is>
      </c>
      <c r="H65" s="36" t="inlineStr">
        <is>
          <t>Scenarios</t>
        </is>
      </c>
      <c r="I65" s="36" t="inlineStr">
        <is>
          <t>https://learn.microsoft.com/en-us/azure/data-factory/</t>
        </is>
      </c>
      <c r="J65" s="36" t="inlineStr">
        <is>
          <t>Core</t>
        </is>
      </c>
      <c r="K65" s="36" t="inlineStr">
        <is>
          <t>Ch 13, Ch 23</t>
        </is>
      </c>
    </row>
    <row r="66">
      <c r="A66" s="38" t="inlineStr">
        <is>
          <t>14. Interview Readiness &amp; Capstones</t>
        </is>
      </c>
      <c r="B66" s="38" t="n">
        <v>60</v>
      </c>
      <c r="C66" s="38" t="inlineStr">
        <is>
          <t>ADF Architecture Review Capstone</t>
        </is>
      </c>
      <c r="D66" s="38" t="inlineStr">
        <is>
          <t>Conduct a structured review of an ADF design from user requirement through production operations.</t>
        </is>
      </c>
      <c r="E66" s="38" t="inlineStr">
        <is>
          <t>Defend architecture, security, networking, recovery, cost and delivery decisions under interview pressure.</t>
        </is>
      </c>
      <c r="F66" s="98" t="n">
        <v>8</v>
      </c>
      <c r="G66" s="38" t="inlineStr">
        <is>
          <t>Produce an architecture-review document plus 2-minute executive summary.</t>
        </is>
      </c>
      <c r="H66" s="38" t="inlineStr">
        <is>
          <t>Capstone</t>
        </is>
      </c>
      <c r="I66" s="38" t="inlineStr">
        <is>
          <t>https://learn.microsoft.com/en-us/azure/data-factory/</t>
        </is>
      </c>
      <c r="J66" s="38" t="inlineStr">
        <is>
          <t>Core</t>
        </is>
      </c>
      <c r="K66" s="38" t="inlineStr">
        <is>
          <t>Ch 23</t>
        </is>
      </c>
    </row>
  </sheetData>
  <mergeCells count="8">
    <mergeCell ref="A1:J1"/>
    <mergeCell ref="L14:O14"/>
    <mergeCell ref="A3:J3"/>
    <mergeCell ref="L8:O12"/>
    <mergeCell ref="A2:J2"/>
    <mergeCell ref="L7:O7"/>
    <mergeCell ref="L15:O20"/>
    <mergeCell ref="L1:O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cols>
    <col width="7" customWidth="1" style="88" min="1" max="1"/>
    <col width="38" customWidth="1" style="88" min="2" max="2"/>
    <col width="28" customWidth="1" style="88" min="3" max="3"/>
    <col width="16" customWidth="1" style="88" min="4" max="4"/>
    <col width="12" customWidth="1" style="88" min="5" max="5"/>
    <col width="12" customWidth="1" style="88" min="6" max="6"/>
    <col width="14" customWidth="1" style="88" min="7" max="7"/>
    <col width="16" customWidth="1" style="88" min="8" max="8"/>
    <col width="40" customWidth="1" style="88" min="10" max="10"/>
    <col width="10" customWidth="1" style="88" min="11" max="11"/>
    <col width="12" customWidth="1" style="88" min="12" max="12"/>
    <col width="13" customWidth="1" style="88" min="13" max="13"/>
    <col width="13" customWidth="1" style="88" min="14" max="14"/>
  </cols>
  <sheetData>
    <row r="1" ht="28" customHeight="1" s="88">
      <c r="A1" s="9" t="inlineStr">
        <is>
          <t>ADF Learning Journey — Progress Tracker</t>
        </is>
      </c>
      <c r="B1" s="1" t="n"/>
      <c r="C1" s="1" t="n"/>
      <c r="D1" s="1" t="n"/>
      <c r="E1" s="1" t="n"/>
      <c r="F1" s="1" t="n"/>
      <c r="G1" s="1" t="n"/>
      <c r="H1" s="1" t="n"/>
      <c r="J1" s="53" t="inlineStr">
        <is>
          <t>Phase Progress Snapshot</t>
        </is>
      </c>
      <c r="K1" s="1" t="n"/>
      <c r="L1" s="1" t="n"/>
      <c r="M1" s="1" t="n"/>
      <c r="N1" s="1" t="n"/>
    </row>
    <row r="2" ht="22" customHeight="1" s="88">
      <c r="A2" s="29" t="inlineStr">
        <is>
          <t>Total Topics</t>
        </is>
      </c>
      <c r="B2" s="29" t="inlineStr">
        <is>
          <t>Completed</t>
        </is>
      </c>
      <c r="C2" s="29" t="inlineStr">
        <is>
          <t>In Progress</t>
        </is>
      </c>
      <c r="D2" s="29" t="inlineStr">
        <is>
          <t>Not Started</t>
        </is>
      </c>
      <c r="E2" s="29" t="inlineStr">
        <is>
          <t>% Complete</t>
        </is>
      </c>
      <c r="F2" s="29" t="inlineStr">
        <is>
          <t>Hours Done</t>
        </is>
      </c>
      <c r="G2" s="29" t="inlineStr">
        <is>
          <t>Total Hours</t>
        </is>
      </c>
      <c r="H2" s="29" t="inlineStr">
        <is>
          <t>Current Focus</t>
        </is>
      </c>
      <c r="J2" s="29" t="inlineStr">
        <is>
          <t>Phase</t>
        </is>
      </c>
      <c r="K2" s="29" t="inlineStr">
        <is>
          <t>Topics</t>
        </is>
      </c>
      <c r="L2" s="29" t="inlineStr">
        <is>
          <t>Completed</t>
        </is>
      </c>
      <c r="M2" s="29" t="inlineStr">
        <is>
          <t>In Progress</t>
        </is>
      </c>
      <c r="N2" s="29" t="inlineStr">
        <is>
          <t>Avg Progress</t>
        </is>
      </c>
    </row>
    <row r="3" ht="22" customHeight="1" s="88">
      <c r="A3" s="75">
        <f>COUNTA(B6:B66)</f>
        <v/>
      </c>
      <c r="B3" s="75">
        <f>COUNTIF(D6:D66,"Completed")</f>
        <v/>
      </c>
      <c r="C3" s="75">
        <f>COUNTIF(D6:D66,"In Progress")</f>
        <v/>
      </c>
      <c r="D3" s="75">
        <f>COUNTIF(D6:D66,"Not Started")</f>
        <v/>
      </c>
      <c r="E3" s="100">
        <f>IFERROR(AVERAGE(E6:E66),0)</f>
        <v/>
      </c>
      <c r="F3" s="75">
        <f>SUMIF(D6:D66,"Completed",F6:F66)</f>
        <v/>
      </c>
      <c r="G3" s="75">
        <f>SUM(F6:F66)</f>
        <v/>
      </c>
      <c r="H3" s="75">
        <f>IFERROR(INDEX(C6:C66,MATCH("In Progress",D6:D66,0)),"Start with Topic 1")</f>
        <v/>
      </c>
      <c r="J3" s="34" t="inlineStr">
        <is>
          <t>1. ADF Foundations</t>
        </is>
      </c>
      <c r="K3" s="34">
        <f>COUNTIF($C$6:$C$66,J3)</f>
        <v/>
      </c>
      <c r="L3" s="34">
        <f>COUNTIFS($C$6:$C$66,J3,$D$6:$D$66,"Completed")</f>
        <v/>
      </c>
      <c r="M3" s="34">
        <f>COUNTIFS($C$6:$C$66,J3,$D$6:$D$66,"In Progress")</f>
        <v/>
      </c>
      <c r="N3" s="101">
        <f>IFERROR(AVERAGEIF($C$6:$C$66,J3,$E$6:$E$66),0)</f>
        <v/>
      </c>
    </row>
    <row r="4" ht="22" customHeight="1" s="88">
      <c r="J4" s="34" t="inlineStr">
        <is>
          <t>2. Building Blocks</t>
        </is>
      </c>
      <c r="K4" s="34">
        <f>COUNTIF($C$6:$C$66,J4)</f>
        <v/>
      </c>
      <c r="L4" s="34">
        <f>COUNTIFS($C$6:$C$66,J4,$D$6:$D$66,"Completed")</f>
        <v/>
      </c>
      <c r="M4" s="34">
        <f>COUNTIFS($C$6:$C$66,J4,$D$6:$D$66,"In Progress")</f>
        <v/>
      </c>
      <c r="N4" s="101">
        <f>IFERROR(AVERAGEIF($C$6:$C$66,J4,$E$6:$E$66),0)</f>
        <v/>
      </c>
    </row>
    <row r="5" ht="26" customHeight="1" s="88">
      <c r="A5" s="29" t="inlineStr">
        <is>
          <t>#</t>
        </is>
      </c>
      <c r="B5" s="29" t="inlineStr">
        <is>
          <t>Topic</t>
        </is>
      </c>
      <c r="C5" s="29" t="inlineStr">
        <is>
          <t>Phase</t>
        </is>
      </c>
      <c r="D5" s="29" t="inlineStr">
        <is>
          <t>Status</t>
        </is>
      </c>
      <c r="E5" s="29" t="inlineStr">
        <is>
          <t>Progress %</t>
        </is>
      </c>
      <c r="F5" s="29" t="inlineStr">
        <is>
          <t>Est. Hours</t>
        </is>
      </c>
      <c r="G5" s="29" t="inlineStr">
        <is>
          <t>Start Date</t>
        </is>
      </c>
      <c r="H5" s="29" t="inlineStr">
        <is>
          <t>Completion Date</t>
        </is>
      </c>
      <c r="J5" s="34" t="inlineStr">
        <is>
          <t>3. Pipelines &amp; Control Flow</t>
        </is>
      </c>
      <c r="K5" s="34">
        <f>COUNTIF($C$6:$C$66,J5)</f>
        <v/>
      </c>
      <c r="L5" s="34">
        <f>COUNTIFS($C$6:$C$66,J5,$D$6:$D$66,"Completed")</f>
        <v/>
      </c>
      <c r="M5" s="34">
        <f>COUNTIFS($C$6:$C$66,J5,$D$6:$D$66,"In Progress")</f>
        <v/>
      </c>
      <c r="N5" s="101">
        <f>IFERROR(AVERAGEIF($C$6:$C$66,J5,$E$6:$E$66),0)</f>
        <v/>
      </c>
    </row>
    <row r="6" ht="30" customHeight="1" s="88">
      <c r="A6" s="36" t="n">
        <v>1</v>
      </c>
      <c r="B6" s="36" t="inlineStr">
        <is>
          <t>What Azure Data Factory Is</t>
        </is>
      </c>
      <c r="C6" s="36" t="inlineStr">
        <is>
          <t>1. ADF Foundations</t>
        </is>
      </c>
      <c r="D6" s="36" t="inlineStr">
        <is>
          <t>Not Started</t>
        </is>
      </c>
      <c r="E6" s="102" t="n">
        <v>0</v>
      </c>
      <c r="F6" s="36" t="n">
        <v>2</v>
      </c>
      <c r="G6" s="36" t="n"/>
      <c r="H6" s="36" t="n"/>
      <c r="J6" s="34" t="inlineStr">
        <is>
          <t>4. Integration Runtime &amp; Networking</t>
        </is>
      </c>
      <c r="K6" s="34">
        <f>COUNTIF($C$6:$C$66,J6)</f>
        <v/>
      </c>
      <c r="L6" s="34">
        <f>COUNTIFS($C$6:$C$66,J6,$D$6:$D$66,"Completed")</f>
        <v/>
      </c>
      <c r="M6" s="34">
        <f>COUNTIFS($C$6:$C$66,J6,$D$6:$D$66,"In Progress")</f>
        <v/>
      </c>
      <c r="N6" s="101">
        <f>IFERROR(AVERAGEIF($C$6:$C$66,J6,$E$6:$E$66),0)</f>
        <v/>
      </c>
    </row>
    <row r="7" ht="30" customHeight="1" s="88">
      <c r="A7" s="36" t="n">
        <v>4</v>
      </c>
      <c r="B7" s="36" t="inlineStr">
        <is>
          <t>ADF Mental Model for Managers</t>
        </is>
      </c>
      <c r="C7" s="36" t="inlineStr">
        <is>
          <t>1. ADF Foundations</t>
        </is>
      </c>
      <c r="D7" s="36" t="inlineStr">
        <is>
          <t>Not Started</t>
        </is>
      </c>
      <c r="E7" s="102" t="n">
        <v>0</v>
      </c>
      <c r="F7" s="36" t="n">
        <v>2</v>
      </c>
      <c r="G7" s="36" t="n"/>
      <c r="H7" s="36" t="n"/>
      <c r="J7" s="34" t="inlineStr">
        <is>
          <t>5. Triggers &amp; Time</t>
        </is>
      </c>
      <c r="K7" s="34">
        <f>COUNTIF($C$6:$C$66,J7)</f>
        <v/>
      </c>
      <c r="L7" s="34">
        <f>COUNTIFS($C$6:$C$66,J7,$D$6:$D$66,"Completed")</f>
        <v/>
      </c>
      <c r="M7" s="34">
        <f>COUNTIFS($C$6:$C$66,J7,$D$6:$D$66,"In Progress")</f>
        <v/>
      </c>
      <c r="N7" s="101">
        <f>IFERROR(AVERAGEIF($C$6:$C$66,J7,$E$6:$E$66),0)</f>
        <v/>
      </c>
    </row>
    <row r="8" ht="30" customHeight="1" s="88">
      <c r="A8" s="36" t="n">
        <v>61</v>
      </c>
      <c r="B8" s="36" t="inlineStr">
        <is>
          <t>How ADF Works: Architecture and the Four Questions</t>
        </is>
      </c>
      <c r="C8" s="36" t="inlineStr">
        <is>
          <t>1. ADF Foundations</t>
        </is>
      </c>
      <c r="D8" s="36" t="inlineStr">
        <is>
          <t>Not Started</t>
        </is>
      </c>
      <c r="E8" s="102" t="n">
        <v>0</v>
      </c>
      <c r="F8" s="36" t="n">
        <v>3</v>
      </c>
      <c r="G8" s="36" t="n"/>
      <c r="H8" s="36" t="n"/>
      <c r="J8" s="34" t="inlineStr">
        <is>
          <t>6. Copy &amp; Bad Rows</t>
        </is>
      </c>
      <c r="K8" s="34">
        <f>COUNTIF($C$6:$C$66,J8)</f>
        <v/>
      </c>
      <c r="L8" s="34">
        <f>COUNTIFS($C$6:$C$66,J8,$D$6:$D$66,"Completed")</f>
        <v/>
      </c>
      <c r="M8" s="34">
        <f>COUNTIFS($C$6:$C$66,J8,$D$6:$D$66,"In Progress")</f>
        <v/>
      </c>
      <c r="N8" s="101">
        <f>IFERROR(AVERAGEIF($C$6:$C$66,J8,$E$6:$E$66),0)</f>
        <v/>
      </c>
    </row>
    <row r="9" ht="30" customHeight="1" s="88">
      <c r="A9" s="36" t="n">
        <v>3</v>
      </c>
      <c r="B9" s="36" t="inlineStr">
        <is>
          <t>ADF Resource Model</t>
        </is>
      </c>
      <c r="C9" s="36" t="inlineStr">
        <is>
          <t>2. Building Blocks</t>
        </is>
      </c>
      <c r="D9" s="36" t="inlineStr">
        <is>
          <t>Not Started</t>
        </is>
      </c>
      <c r="E9" s="102" t="n">
        <v>0</v>
      </c>
      <c r="F9" s="36" t="n">
        <v>2</v>
      </c>
      <c r="G9" s="36" t="n"/>
      <c r="H9" s="36" t="n"/>
      <c r="J9" s="34" t="inlineStr">
        <is>
          <t>7. Reconciliation, Incremental Loading &amp; CDC</t>
        </is>
      </c>
      <c r="K9" s="34">
        <f>COUNTIF($C$6:$C$66,J9)</f>
        <v/>
      </c>
      <c r="L9" s="34">
        <f>COUNTIFS($C$6:$C$66,J9,$D$6:$D$66,"Completed")</f>
        <v/>
      </c>
      <c r="M9" s="34">
        <f>COUNTIFS($C$6:$C$66,J9,$D$6:$D$66,"In Progress")</f>
        <v/>
      </c>
      <c r="N9" s="101">
        <f>IFERROR(AVERAGEIF($C$6:$C$66,J9,$E$6:$E$66),0)</f>
        <v/>
      </c>
    </row>
    <row r="10" ht="30" customHeight="1" s="88">
      <c r="A10" s="36" t="n">
        <v>5</v>
      </c>
      <c r="B10" s="36" t="inlineStr">
        <is>
          <t>Linked Services</t>
        </is>
      </c>
      <c r="C10" s="36" t="inlineStr">
        <is>
          <t>2. Building Blocks</t>
        </is>
      </c>
      <c r="D10" s="36" t="inlineStr">
        <is>
          <t>Not Started</t>
        </is>
      </c>
      <c r="E10" s="102" t="n">
        <v>0</v>
      </c>
      <c r="F10" s="36" t="n">
        <v>2</v>
      </c>
      <c r="G10" s="36" t="n"/>
      <c r="H10" s="36" t="n"/>
      <c r="J10" s="34" t="inlineStr">
        <is>
          <t>8. Data Flows &amp; Transformation</t>
        </is>
      </c>
      <c r="K10" s="34">
        <f>COUNTIF($C$6:$C$66,J10)</f>
        <v/>
      </c>
      <c r="L10" s="34">
        <f>COUNTIFS($C$6:$C$66,J10,$D$6:$D$66,"Completed")</f>
        <v/>
      </c>
      <c r="M10" s="34">
        <f>COUNTIFS($C$6:$C$66,J10,$D$6:$D$66,"In Progress")</f>
        <v/>
      </c>
      <c r="N10" s="101">
        <f>IFERROR(AVERAGEIF($C$6:$C$66,J10,$E$6:$E$66),0)</f>
        <v/>
      </c>
    </row>
    <row r="11" ht="30" customHeight="1" s="88">
      <c r="A11" s="36" t="n">
        <v>6</v>
      </c>
      <c r="B11" s="36" t="inlineStr">
        <is>
          <t>Datasets and Parameterisation</t>
        </is>
      </c>
      <c r="C11" s="36" t="inlineStr">
        <is>
          <t>2. Building Blocks</t>
        </is>
      </c>
      <c r="D11" s="36" t="inlineStr">
        <is>
          <t>Not Started</t>
        </is>
      </c>
      <c r="E11" s="102" t="n">
        <v>0</v>
      </c>
      <c r="F11" s="36" t="n">
        <v>3</v>
      </c>
      <c r="G11" s="36" t="n"/>
      <c r="H11" s="36" t="n"/>
      <c r="J11" s="34" t="inlineStr">
        <is>
          <t>9. Monitoring &amp; Recovery</t>
        </is>
      </c>
      <c r="K11" s="34">
        <f>COUNTIF($C$6:$C$66,J11)</f>
        <v/>
      </c>
      <c r="L11" s="34">
        <f>COUNTIFS($C$6:$C$66,J11,$D$6:$D$66,"Completed")</f>
        <v/>
      </c>
      <c r="M11" s="34">
        <f>COUNTIFS($C$6:$C$66,J11,$D$6:$D$66,"In Progress")</f>
        <v/>
      </c>
      <c r="N11" s="101">
        <f>IFERROR(AVERAGEIF($C$6:$C$66,J11,$E$6:$E$66),0)</f>
        <v/>
      </c>
    </row>
    <row r="12" ht="30" customHeight="1" s="88">
      <c r="A12" s="36" t="n">
        <v>8</v>
      </c>
      <c r="B12" s="36" t="inlineStr">
        <is>
          <t>Global Parameters and Reusable Configuration</t>
        </is>
      </c>
      <c r="C12" s="36" t="inlineStr">
        <is>
          <t>2. Building Blocks</t>
        </is>
      </c>
      <c r="D12" s="36" t="inlineStr">
        <is>
          <t>Not Started</t>
        </is>
      </c>
      <c r="E12" s="102" t="n">
        <v>0</v>
      </c>
      <c r="F12" s="36" t="n">
        <v>2</v>
      </c>
      <c r="G12" s="36" t="n"/>
      <c r="H12" s="36" t="n"/>
      <c r="J12" s="34" t="inlineStr">
        <is>
          <t>10. Security &amp; Sensitive Data</t>
        </is>
      </c>
      <c r="K12" s="34">
        <f>COUNTIF($C$6:$C$66,J12)</f>
        <v/>
      </c>
      <c r="L12" s="34">
        <f>COUNTIFS($C$6:$C$66,J12,$D$6:$D$66,"Completed")</f>
        <v/>
      </c>
      <c r="M12" s="34">
        <f>COUNTIFS($C$6:$C$66,J12,$D$6:$D$66,"In Progress")</f>
        <v/>
      </c>
      <c r="N12" s="101">
        <f>IFERROR(AVERAGEIF($C$6:$C$66,J12,$E$6:$E$66),0)</f>
        <v/>
      </c>
    </row>
    <row r="13" ht="30" customHeight="1" s="88">
      <c r="A13" s="36" t="n">
        <v>7</v>
      </c>
      <c r="B13" s="36" t="inlineStr">
        <is>
          <t>Pipeline Parameters, Variables and Expressions</t>
        </is>
      </c>
      <c r="C13" s="36" t="inlineStr">
        <is>
          <t>3. Pipelines &amp; Control Flow</t>
        </is>
      </c>
      <c r="D13" s="36" t="inlineStr">
        <is>
          <t>Not Started</t>
        </is>
      </c>
      <c r="E13" s="102" t="n">
        <v>0</v>
      </c>
      <c r="F13" s="36" t="n">
        <v>3</v>
      </c>
      <c r="G13" s="36" t="n"/>
      <c r="H13" s="36" t="n"/>
      <c r="J13" s="34" t="inlineStr">
        <is>
          <t>11. Performance, Cost &amp; Concurrency</t>
        </is>
      </c>
      <c r="K13" s="34">
        <f>COUNTIF($C$6:$C$66,J13)</f>
        <v/>
      </c>
      <c r="L13" s="34">
        <f>COUNTIFS($C$6:$C$66,J13,$D$6:$D$66,"Completed")</f>
        <v/>
      </c>
      <c r="M13" s="34">
        <f>COUNTIFS($C$6:$C$66,J13,$D$6:$D$66,"In Progress")</f>
        <v/>
      </c>
      <c r="N13" s="101">
        <f>IFERROR(AVERAGEIF($C$6:$C$66,J13,$E$6:$E$66),0)</f>
        <v/>
      </c>
    </row>
    <row r="14" ht="30" customHeight="1" s="88">
      <c r="A14" s="36" t="n">
        <v>9</v>
      </c>
      <c r="B14" s="36" t="inlineStr">
        <is>
          <t>Activity Types and Execution Semantics</t>
        </is>
      </c>
      <c r="C14" s="36" t="inlineStr">
        <is>
          <t>3. Pipelines &amp; Control Flow</t>
        </is>
      </c>
      <c r="D14" s="36" t="inlineStr">
        <is>
          <t>Not Started</t>
        </is>
      </c>
      <c r="E14" s="102" t="n">
        <v>0</v>
      </c>
      <c r="F14" s="36" t="n">
        <v>2</v>
      </c>
      <c r="G14" s="36" t="n"/>
      <c r="H14" s="36" t="n"/>
      <c r="J14" s="34" t="inlineStr">
        <is>
          <t>12. CI/CD &amp; Infrastructure as Code</t>
        </is>
      </c>
      <c r="K14" s="34">
        <f>COUNTIF($C$6:$C$66,J14)</f>
        <v/>
      </c>
      <c r="L14" s="34">
        <f>COUNTIFS($C$6:$C$66,J14,$D$6:$D$66,"Completed")</f>
        <v/>
      </c>
      <c r="M14" s="34">
        <f>COUNTIFS($C$6:$C$66,J14,$D$6:$D$66,"In Progress")</f>
        <v/>
      </c>
      <c r="N14" s="101">
        <f>IFERROR(AVERAGEIF($C$6:$C$66,J14,$E$6:$E$66),0)</f>
        <v/>
      </c>
    </row>
    <row r="15" ht="30" customHeight="1" s="88">
      <c r="A15" s="36" t="n">
        <v>10</v>
      </c>
      <c r="B15" s="36" t="inlineStr">
        <is>
          <t>Dependencies: Success, Failure, Completion and Skip</t>
        </is>
      </c>
      <c r="C15" s="36" t="inlineStr">
        <is>
          <t>3. Pipelines &amp; Control Flow</t>
        </is>
      </c>
      <c r="D15" s="36" t="inlineStr">
        <is>
          <t>Not Started</t>
        </is>
      </c>
      <c r="E15" s="102" t="n">
        <v>0</v>
      </c>
      <c r="F15" s="36" t="n">
        <v>3</v>
      </c>
      <c r="G15" s="36" t="n"/>
      <c r="H15" s="36" t="n"/>
      <c r="J15" s="34" t="inlineStr">
        <is>
          <t>13. Migration, Service Choice &amp; Fabric</t>
        </is>
      </c>
      <c r="K15" s="34">
        <f>COUNTIF($C$6:$C$66,J15)</f>
        <v/>
      </c>
      <c r="L15" s="34">
        <f>COUNTIFS($C$6:$C$66,J15,$D$6:$D$66,"Completed")</f>
        <v/>
      </c>
      <c r="M15" s="34">
        <f>COUNTIFS($C$6:$C$66,J15,$D$6:$D$66,"In Progress")</f>
        <v/>
      </c>
      <c r="N15" s="101">
        <f>IFERROR(AVERAGEIF($C$6:$C$66,J15,$E$6:$E$66),0)</f>
        <v/>
      </c>
    </row>
    <row r="16" ht="30" customHeight="1" s="88">
      <c r="A16" s="36" t="n">
        <v>11</v>
      </c>
      <c r="B16" s="36" t="inlineStr">
        <is>
          <t>Lookup and Get Metadata</t>
        </is>
      </c>
      <c r="C16" s="36" t="inlineStr">
        <is>
          <t>3. Pipelines &amp; Control Flow</t>
        </is>
      </c>
      <c r="D16" s="36" t="inlineStr">
        <is>
          <t>Not Started</t>
        </is>
      </c>
      <c r="E16" s="102" t="n">
        <v>0</v>
      </c>
      <c r="F16" s="36" t="n">
        <v>2</v>
      </c>
      <c r="G16" s="36" t="n"/>
      <c r="H16" s="36" t="n"/>
      <c r="J16" s="34" t="inlineStr">
        <is>
          <t>14. Interview Readiness &amp; Capstones</t>
        </is>
      </c>
      <c r="K16" s="34">
        <f>COUNTIF($C$6:$C$66,J16)</f>
        <v/>
      </c>
      <c r="L16" s="34">
        <f>COUNTIFS($C$6:$C$66,J16,$D$6:$D$66,"Completed")</f>
        <v/>
      </c>
      <c r="M16" s="34">
        <f>COUNTIFS($C$6:$C$66,J16,$D$6:$D$66,"In Progress")</f>
        <v/>
      </c>
      <c r="N16" s="101">
        <f>IFERROR(AVERAGEIF($C$6:$C$66,J16,$E$6:$E$66),0)</f>
        <v/>
      </c>
    </row>
    <row r="17" ht="30" customHeight="1" s="88">
      <c r="A17" s="36" t="n">
        <v>12</v>
      </c>
      <c r="B17" s="36" t="inlineStr">
        <is>
          <t>ForEach, Batch Count and Parallelism</t>
        </is>
      </c>
      <c r="C17" s="36" t="inlineStr">
        <is>
          <t>3. Pipelines &amp; Control Flow</t>
        </is>
      </c>
      <c r="D17" s="36" t="inlineStr">
        <is>
          <t>Not Started</t>
        </is>
      </c>
      <c r="E17" s="102" t="n">
        <v>0</v>
      </c>
      <c r="F17" s="36" t="n">
        <v>3</v>
      </c>
      <c r="G17" s="36" t="n"/>
      <c r="H17" s="36" t="n"/>
    </row>
    <row r="18" ht="30" customHeight="1" s="88">
      <c r="A18" s="36" t="n">
        <v>13</v>
      </c>
      <c r="B18" s="36" t="inlineStr">
        <is>
          <t>If Condition, Switch, Until and Wait</t>
        </is>
      </c>
      <c r="C18" s="36" t="inlineStr">
        <is>
          <t>3. Pipelines &amp; Control Flow</t>
        </is>
      </c>
      <c r="D18" s="36" t="inlineStr">
        <is>
          <t>Not Started</t>
        </is>
      </c>
      <c r="E18" s="102" t="n">
        <v>0</v>
      </c>
      <c r="F18" s="36" t="n">
        <v>2</v>
      </c>
      <c r="G18" s="36" t="n"/>
      <c r="H18" s="36" t="n"/>
    </row>
    <row r="19" ht="30" customHeight="1" s="88">
      <c r="A19" s="36" t="n">
        <v>14</v>
      </c>
      <c r="B19" s="36" t="inlineStr">
        <is>
          <t>Execute Pipeline and Reusable Child Pipelines</t>
        </is>
      </c>
      <c r="C19" s="36" t="inlineStr">
        <is>
          <t>3. Pipelines &amp; Control Flow</t>
        </is>
      </c>
      <c r="D19" s="36" t="inlineStr">
        <is>
          <t>Not Started</t>
        </is>
      </c>
      <c r="E19" s="102" t="n">
        <v>0</v>
      </c>
      <c r="F19" s="36" t="n">
        <v>2</v>
      </c>
      <c r="G19" s="36" t="n"/>
      <c r="H19" s="36" t="n"/>
    </row>
    <row r="20" ht="30" customHeight="1" s="88">
      <c r="A20" s="36" t="n">
        <v>15</v>
      </c>
      <c r="B20" s="36" t="inlineStr">
        <is>
          <t>Web, Function, Script and Stored Procedure Integration</t>
        </is>
      </c>
      <c r="C20" s="36" t="inlineStr">
        <is>
          <t>3. Pipelines &amp; Control Flow</t>
        </is>
      </c>
      <c r="D20" s="36" t="inlineStr">
        <is>
          <t>Not Started</t>
        </is>
      </c>
      <c r="E20" s="102" t="n">
        <v>0</v>
      </c>
      <c r="F20" s="36" t="n">
        <v>3</v>
      </c>
      <c r="G20" s="36" t="n"/>
      <c r="H20" s="36" t="n"/>
    </row>
    <row r="21" ht="30" customHeight="1" s="88">
      <c r="A21" s="36" t="n">
        <v>55</v>
      </c>
      <c r="B21" s="36" t="inlineStr">
        <is>
          <t>ADF + Azure Databricks</t>
        </is>
      </c>
      <c r="C21" s="36" t="inlineStr">
        <is>
          <t>3. Pipelines &amp; Control Flow</t>
        </is>
      </c>
      <c r="D21" s="36" t="inlineStr">
        <is>
          <t>Not Started</t>
        </is>
      </c>
      <c r="E21" s="102" t="n">
        <v>0</v>
      </c>
      <c r="F21" s="36" t="n">
        <v>3</v>
      </c>
      <c r="G21" s="36" t="n"/>
      <c r="H21" s="36" t="n"/>
    </row>
    <row r="22" ht="30" customHeight="1" s="88">
      <c r="A22" s="36" t="n">
        <v>56</v>
      </c>
      <c r="B22" s="36" t="inlineStr">
        <is>
          <t>ADF + Azure Synapse</t>
        </is>
      </c>
      <c r="C22" s="36" t="inlineStr">
        <is>
          <t>3. Pipelines &amp; Control Flow</t>
        </is>
      </c>
      <c r="D22" s="36" t="inlineStr">
        <is>
          <t>Not Started</t>
        </is>
      </c>
      <c r="E22" s="102" t="n">
        <v>0</v>
      </c>
      <c r="F22" s="36" t="n">
        <v>2</v>
      </c>
      <c r="G22" s="36" t="n"/>
      <c r="H22" s="36" t="n"/>
    </row>
    <row r="23" ht="30" customHeight="1" s="88">
      <c r="A23" s="36" t="n">
        <v>20</v>
      </c>
      <c r="B23" s="36" t="inlineStr">
        <is>
          <t>Integration Runtime Fundamentals</t>
        </is>
      </c>
      <c r="C23" s="36" t="inlineStr">
        <is>
          <t>4. Integration Runtime &amp; Networking</t>
        </is>
      </c>
      <c r="D23" s="36" t="inlineStr">
        <is>
          <t>Not Started</t>
        </is>
      </c>
      <c r="E23" s="102" t="n">
        <v>0</v>
      </c>
      <c r="F23" s="36" t="n">
        <v>3</v>
      </c>
      <c r="G23" s="36" t="n"/>
      <c r="H23" s="36" t="n"/>
    </row>
    <row r="24" ht="30" customHeight="1" s="88">
      <c r="A24" s="36" t="n">
        <v>21</v>
      </c>
      <c r="B24" s="36" t="inlineStr">
        <is>
          <t>Self-hosted IR Architecture and Operations</t>
        </is>
      </c>
      <c r="C24" s="36" t="inlineStr">
        <is>
          <t>4. Integration Runtime &amp; Networking</t>
        </is>
      </c>
      <c r="D24" s="36" t="inlineStr">
        <is>
          <t>Not Started</t>
        </is>
      </c>
      <c r="E24" s="102" t="n">
        <v>0</v>
      </c>
      <c r="F24" s="36" t="n">
        <v>4</v>
      </c>
      <c r="G24" s="36" t="n"/>
      <c r="H24" s="36" t="n"/>
    </row>
    <row r="25" ht="30" customHeight="1" s="88">
      <c r="A25" s="36" t="n">
        <v>22</v>
      </c>
      <c r="B25" s="36" t="inlineStr">
        <is>
          <t>Managed VNet and Managed Private Endpoints</t>
        </is>
      </c>
      <c r="C25" s="36" t="inlineStr">
        <is>
          <t>4. Integration Runtime &amp; Networking</t>
        </is>
      </c>
      <c r="D25" s="36" t="inlineStr">
        <is>
          <t>Not Started</t>
        </is>
      </c>
      <c r="E25" s="102" t="n">
        <v>0</v>
      </c>
      <c r="F25" s="36" t="n">
        <v>4</v>
      </c>
      <c r="G25" s="36" t="n"/>
      <c r="H25" s="36" t="n"/>
    </row>
    <row r="26" ht="30" customHeight="1" s="88">
      <c r="A26" s="36" t="n">
        <v>23</v>
      </c>
      <c r="B26" s="36" t="inlineStr">
        <is>
          <t>On-premises Connectivity and Network Paths</t>
        </is>
      </c>
      <c r="C26" s="36" t="inlineStr">
        <is>
          <t>4. Integration Runtime &amp; Networking</t>
        </is>
      </c>
      <c r="D26" s="36" t="inlineStr">
        <is>
          <t>Not Started</t>
        </is>
      </c>
      <c r="E26" s="102" t="n">
        <v>0</v>
      </c>
      <c r="F26" s="36" t="n">
        <v>3</v>
      </c>
      <c r="G26" s="36" t="n"/>
      <c r="H26" s="36" t="n"/>
    </row>
    <row r="27" ht="30" customHeight="1" s="88">
      <c r="A27" s="36" t="n">
        <v>24</v>
      </c>
      <c r="B27" s="36" t="inlineStr">
        <is>
          <t>Private Endpoint vs Managed Private Endpoint</t>
        </is>
      </c>
      <c r="C27" s="36" t="inlineStr">
        <is>
          <t>4. Integration Runtime &amp; Networking</t>
        </is>
      </c>
      <c r="D27" s="36" t="inlineStr">
        <is>
          <t>Not Started</t>
        </is>
      </c>
      <c r="E27" s="102" t="n">
        <v>0</v>
      </c>
      <c r="F27" s="36" t="n">
        <v>2</v>
      </c>
      <c r="G27" s="36" t="n"/>
      <c r="H27" s="36" t="n"/>
    </row>
    <row r="28" ht="30" customHeight="1" s="88">
      <c r="A28" s="36" t="n">
        <v>16</v>
      </c>
      <c r="B28" s="36" t="inlineStr">
        <is>
          <t>Schedule Triggers</t>
        </is>
      </c>
      <c r="C28" s="36" t="inlineStr">
        <is>
          <t>5. Triggers &amp; Time</t>
        </is>
      </c>
      <c r="D28" s="36" t="inlineStr">
        <is>
          <t>Not Started</t>
        </is>
      </c>
      <c r="E28" s="102" t="n">
        <v>0</v>
      </c>
      <c r="F28" s="36" t="n">
        <v>2</v>
      </c>
      <c r="G28" s="36" t="n"/>
      <c r="H28" s="36" t="n"/>
    </row>
    <row r="29" ht="30" customHeight="1" s="88">
      <c r="A29" s="36" t="n">
        <v>17</v>
      </c>
      <c r="B29" s="36" t="inlineStr">
        <is>
          <t>Tumbling Window Triggers</t>
        </is>
      </c>
      <c r="C29" s="36" t="inlineStr">
        <is>
          <t>5. Triggers &amp; Time</t>
        </is>
      </c>
      <c r="D29" s="36" t="inlineStr">
        <is>
          <t>Not Started</t>
        </is>
      </c>
      <c r="E29" s="102" t="n">
        <v>0</v>
      </c>
      <c r="F29" s="36" t="n">
        <v>3</v>
      </c>
      <c r="G29" s="36" t="n"/>
      <c r="H29" s="36" t="n"/>
    </row>
    <row r="30" ht="30" customHeight="1" s="88">
      <c r="A30" s="36" t="n">
        <v>18</v>
      </c>
      <c r="B30" s="36" t="inlineStr">
        <is>
          <t>Event and Custom Event Triggers</t>
        </is>
      </c>
      <c r="C30" s="36" t="inlineStr">
        <is>
          <t>5. Triggers &amp; Time</t>
        </is>
      </c>
      <c r="D30" s="36" t="inlineStr">
        <is>
          <t>Not Started</t>
        </is>
      </c>
      <c r="E30" s="102" t="n">
        <v>0</v>
      </c>
      <c r="F30" s="36" t="n">
        <v>2</v>
      </c>
      <c r="G30" s="36" t="n"/>
      <c r="H30" s="36" t="n"/>
    </row>
    <row r="31" ht="30" customHeight="1" s="88">
      <c r="A31" s="36" t="n">
        <v>19</v>
      </c>
      <c r="B31" s="36" t="inlineStr">
        <is>
          <t>Time Zones and Window Semantics</t>
        </is>
      </c>
      <c r="C31" s="36" t="inlineStr">
        <is>
          <t>5. Triggers &amp; Time</t>
        </is>
      </c>
      <c r="D31" s="36" t="inlineStr">
        <is>
          <t>Not Started</t>
        </is>
      </c>
      <c r="E31" s="102" t="n">
        <v>0</v>
      </c>
      <c r="F31" s="36" t="n">
        <v>2</v>
      </c>
      <c r="G31" s="36" t="n"/>
      <c r="H31" s="36" t="n"/>
    </row>
    <row r="32" ht="30" customHeight="1" s="88">
      <c r="A32" s="36" t="n">
        <v>25</v>
      </c>
      <c r="B32" s="36" t="inlineStr">
        <is>
          <t>Copy Activity Fundamentals</t>
        </is>
      </c>
      <c r="C32" s="36" t="inlineStr">
        <is>
          <t>6. Copy &amp; Bad Rows</t>
        </is>
      </c>
      <c r="D32" s="36" t="inlineStr">
        <is>
          <t>Not Started</t>
        </is>
      </c>
      <c r="E32" s="102" t="n">
        <v>0</v>
      </c>
      <c r="F32" s="36" t="n">
        <v>3</v>
      </c>
      <c r="G32" s="36" t="n"/>
      <c r="H32" s="36" t="n"/>
    </row>
    <row r="33" ht="30" customHeight="1" s="88">
      <c r="A33" s="36" t="n">
        <v>26</v>
      </c>
      <c r="B33" s="36" t="inlineStr">
        <is>
          <t>Connectors, Formats and Capability Matrix</t>
        </is>
      </c>
      <c r="C33" s="36" t="inlineStr">
        <is>
          <t>6. Copy &amp; Bad Rows</t>
        </is>
      </c>
      <c r="D33" s="36" t="inlineStr">
        <is>
          <t>Not Started</t>
        </is>
      </c>
      <c r="E33" s="102" t="n">
        <v>0</v>
      </c>
      <c r="F33" s="36" t="n">
        <v>3</v>
      </c>
      <c r="G33" s="36" t="n"/>
      <c r="H33" s="36" t="n"/>
    </row>
    <row r="34" ht="30" customHeight="1" s="88">
      <c r="A34" s="36" t="n">
        <v>27</v>
      </c>
      <c r="B34" s="36" t="inlineStr">
        <is>
          <t>Schema Mapping and Type Conversion</t>
        </is>
      </c>
      <c r="C34" s="36" t="inlineStr">
        <is>
          <t>6. Copy &amp; Bad Rows</t>
        </is>
      </c>
      <c r="D34" s="36" t="inlineStr">
        <is>
          <t>Not Started</t>
        </is>
      </c>
      <c r="E34" s="102" t="n">
        <v>0</v>
      </c>
      <c r="F34" s="36" t="n">
        <v>3</v>
      </c>
      <c r="G34" s="36" t="n"/>
      <c r="H34" s="36" t="n"/>
    </row>
    <row r="35" ht="30" customHeight="1" s="88">
      <c r="A35" s="36" t="n">
        <v>28</v>
      </c>
      <c r="B35" s="36" t="inlineStr">
        <is>
          <t>Fault Tolerance and Skipped Rows</t>
        </is>
      </c>
      <c r="C35" s="36" t="inlineStr">
        <is>
          <t>6. Copy &amp; Bad Rows</t>
        </is>
      </c>
      <c r="D35" s="36" t="inlineStr">
        <is>
          <t>Not Started</t>
        </is>
      </c>
      <c r="E35" s="102" t="n">
        <v>0</v>
      </c>
      <c r="F35" s="36" t="n">
        <v>3</v>
      </c>
      <c r="G35" s="36" t="n"/>
      <c r="H35" s="36" t="n"/>
    </row>
    <row r="36" ht="30" customHeight="1" s="88">
      <c r="A36" s="36" t="n">
        <v>29</v>
      </c>
      <c r="B36" s="36" t="inlineStr">
        <is>
          <t>Data Consistency Verification</t>
        </is>
      </c>
      <c r="C36" s="36" t="inlineStr">
        <is>
          <t>6. Copy &amp; Bad Rows</t>
        </is>
      </c>
      <c r="D36" s="36" t="inlineStr">
        <is>
          <t>Not Started</t>
        </is>
      </c>
      <c r="E36" s="102" t="n">
        <v>0</v>
      </c>
      <c r="F36" s="36" t="n">
        <v>2</v>
      </c>
      <c r="G36" s="36" t="n"/>
      <c r="H36" s="36" t="n"/>
    </row>
    <row r="37" ht="30" customHeight="1" s="88">
      <c r="A37" s="36" t="n">
        <v>30</v>
      </c>
      <c r="B37" s="36" t="inlineStr">
        <is>
          <t>Staged Copy, Resume and Large File Handling</t>
        </is>
      </c>
      <c r="C37" s="36" t="inlineStr">
        <is>
          <t>6. Copy &amp; Bad Rows</t>
        </is>
      </c>
      <c r="D37" s="36" t="inlineStr">
        <is>
          <t>Not Started</t>
        </is>
      </c>
      <c r="E37" s="102" t="n">
        <v>0</v>
      </c>
      <c r="F37" s="36" t="n">
        <v>3</v>
      </c>
      <c r="G37" s="36" t="n"/>
      <c r="H37" s="36" t="n"/>
    </row>
    <row r="38" ht="30" customHeight="1" s="88">
      <c r="A38" s="36" t="n">
        <v>38</v>
      </c>
      <c r="B38" s="36" t="inlineStr">
        <is>
          <t>Reconciliation: Counts, Profiles and Row Fingerprints</t>
        </is>
      </c>
      <c r="C38" s="36" t="inlineStr">
        <is>
          <t>7. Reconciliation, Incremental Loading &amp; CDC</t>
        </is>
      </c>
      <c r="D38" s="36" t="inlineStr">
        <is>
          <t>Not Started</t>
        </is>
      </c>
      <c r="E38" s="102" t="n">
        <v>0</v>
      </c>
      <c r="F38" s="36" t="n">
        <v>4</v>
      </c>
      <c r="G38" s="36" t="n"/>
      <c r="H38" s="36" t="n"/>
    </row>
    <row r="39" ht="30" customHeight="1" s="88">
      <c r="A39" s="36" t="n">
        <v>39</v>
      </c>
      <c r="B39" s="36" t="inlineStr">
        <is>
          <t>Assert, Error Rows and Business Rules</t>
        </is>
      </c>
      <c r="C39" s="36" t="inlineStr">
        <is>
          <t>7. Reconciliation, Incremental Loading &amp; CDC</t>
        </is>
      </c>
      <c r="D39" s="36" t="inlineStr">
        <is>
          <t>Not Started</t>
        </is>
      </c>
      <c r="E39" s="102" t="n">
        <v>0</v>
      </c>
      <c r="F39" s="36" t="n">
        <v>3</v>
      </c>
      <c r="G39" s="36" t="n"/>
      <c r="H39" s="36" t="n"/>
    </row>
    <row r="40" ht="30" customHeight="1" s="88">
      <c r="A40" s="36" t="n">
        <v>31</v>
      </c>
      <c r="B40" s="36" t="inlineStr">
        <is>
          <t>Full Load vs Incremental Load</t>
        </is>
      </c>
      <c r="C40" s="36" t="inlineStr">
        <is>
          <t>7. Reconciliation, Incremental Loading &amp; CDC</t>
        </is>
      </c>
      <c r="D40" s="36" t="inlineStr">
        <is>
          <t>Not Started</t>
        </is>
      </c>
      <c r="E40" s="102" t="n">
        <v>0</v>
      </c>
      <c r="F40" s="36" t="n">
        <v>2</v>
      </c>
      <c r="G40" s="36" t="n"/>
      <c r="H40" s="36" t="n"/>
    </row>
    <row r="41" ht="30" customHeight="1" s="88">
      <c r="A41" s="36" t="n">
        <v>32</v>
      </c>
      <c r="B41" s="36" t="inlineStr">
        <is>
          <t>Watermark Patterns</t>
        </is>
      </c>
      <c r="C41" s="36" t="inlineStr">
        <is>
          <t>7. Reconciliation, Incremental Loading &amp; CDC</t>
        </is>
      </c>
      <c r="D41" s="36" t="inlineStr">
        <is>
          <t>Not Started</t>
        </is>
      </c>
      <c r="E41" s="102" t="n">
        <v>0</v>
      </c>
      <c r="F41" s="36" t="n">
        <v>3</v>
      </c>
      <c r="G41" s="36" t="n"/>
      <c r="H41" s="36" t="n"/>
    </row>
    <row r="42" ht="30" customHeight="1" s="88">
      <c r="A42" s="36" t="n">
        <v>33</v>
      </c>
      <c r="B42" s="36" t="inlineStr">
        <is>
          <t>Change Tracking and CDC</t>
        </is>
      </c>
      <c r="C42" s="36" t="inlineStr">
        <is>
          <t>7. Reconciliation, Incremental Loading &amp; CDC</t>
        </is>
      </c>
      <c r="D42" s="36" t="inlineStr">
        <is>
          <t>Not Started</t>
        </is>
      </c>
      <c r="E42" s="102" t="n">
        <v>0</v>
      </c>
      <c r="F42" s="36" t="n">
        <v>4</v>
      </c>
      <c r="G42" s="36" t="n"/>
      <c r="H42" s="36" t="n"/>
    </row>
    <row r="43" ht="30" customHeight="1" s="88">
      <c r="A43" s="36" t="n">
        <v>35</v>
      </c>
      <c r="B43" s="36" t="inlineStr">
        <is>
          <t>Metadata-Driven Pipelines</t>
        </is>
      </c>
      <c r="C43" s="36" t="inlineStr">
        <is>
          <t>7. Reconciliation, Incremental Loading &amp; CDC</t>
        </is>
      </c>
      <c r="D43" s="36" t="inlineStr">
        <is>
          <t>Not Started</t>
        </is>
      </c>
      <c r="E43" s="102" t="n">
        <v>0</v>
      </c>
      <c r="F43" s="36" t="n">
        <v>4</v>
      </c>
      <c r="G43" s="36" t="n"/>
      <c r="H43" s="36" t="n"/>
    </row>
    <row r="44" ht="30" customHeight="1" s="88">
      <c r="A44" s="36" t="n">
        <v>34</v>
      </c>
      <c r="B44" s="36" t="inlineStr">
        <is>
          <t>CDC Checkpoints and Rename Risk</t>
        </is>
      </c>
      <c r="C44" s="36" t="inlineStr">
        <is>
          <t>7. Reconciliation, Incremental Loading &amp; CDC</t>
        </is>
      </c>
      <c r="D44" s="36" t="inlineStr">
        <is>
          <t>Not Started</t>
        </is>
      </c>
      <c r="E44" s="102" t="n">
        <v>0</v>
      </c>
      <c r="F44" s="36" t="n">
        <v>2</v>
      </c>
      <c r="G44" s="36" t="n"/>
      <c r="H44" s="36" t="n"/>
    </row>
    <row r="45" ht="30" customHeight="1" s="88">
      <c r="A45" s="36" t="n">
        <v>36</v>
      </c>
      <c r="B45" s="36" t="inlineStr">
        <is>
          <t>Mapping Data Flows</t>
        </is>
      </c>
      <c r="C45" s="36" t="inlineStr">
        <is>
          <t>8. Data Flows &amp; Transformation</t>
        </is>
      </c>
      <c r="D45" s="36" t="inlineStr">
        <is>
          <t>Not Started</t>
        </is>
      </c>
      <c r="E45" s="102" t="n">
        <v>0</v>
      </c>
      <c r="F45" s="36" t="n">
        <v>3</v>
      </c>
      <c r="G45" s="36" t="n"/>
      <c r="H45" s="36" t="n"/>
    </row>
    <row r="46" ht="30" customHeight="1" s="88">
      <c r="A46" s="36" t="n">
        <v>37</v>
      </c>
      <c r="B46" s="36" t="inlineStr">
        <is>
          <t>Schema Drift and Data Flow Design</t>
        </is>
      </c>
      <c r="C46" s="36" t="inlineStr">
        <is>
          <t>8. Data Flows &amp; Transformation</t>
        </is>
      </c>
      <c r="D46" s="36" t="inlineStr">
        <is>
          <t>Not Started</t>
        </is>
      </c>
      <c r="E46" s="102" t="n">
        <v>0</v>
      </c>
      <c r="F46" s="36" t="n">
        <v>2</v>
      </c>
      <c r="G46" s="36" t="n"/>
      <c r="H46" s="36" t="n"/>
    </row>
    <row r="47" ht="30" customHeight="1" s="88">
      <c r="A47" s="36" t="n">
        <v>40</v>
      </c>
      <c r="B47" s="36" t="inlineStr">
        <is>
          <t>Data Flow Performance Fundamentals</t>
        </is>
      </c>
      <c r="C47" s="36" t="inlineStr">
        <is>
          <t>8. Data Flows &amp; Transformation</t>
        </is>
      </c>
      <c r="D47" s="36" t="inlineStr">
        <is>
          <t>Not Started</t>
        </is>
      </c>
      <c r="E47" s="102" t="n">
        <v>0</v>
      </c>
      <c r="F47" s="36" t="n">
        <v>4</v>
      </c>
      <c r="G47" s="36" t="n"/>
      <c r="H47" s="36" t="n"/>
    </row>
    <row r="48" ht="30" customHeight="1" s="88">
      <c r="A48" s="36" t="n">
        <v>44</v>
      </c>
      <c r="B48" s="36" t="inlineStr">
        <is>
          <t>Monitoring, Alerts and Run History</t>
        </is>
      </c>
      <c r="C48" s="36" t="inlineStr">
        <is>
          <t>9. Monitoring &amp; Recovery</t>
        </is>
      </c>
      <c r="D48" s="36" t="inlineStr">
        <is>
          <t>Not Started</t>
        </is>
      </c>
      <c r="E48" s="102" t="n">
        <v>0</v>
      </c>
      <c r="F48" s="36" t="n">
        <v>3</v>
      </c>
      <c r="G48" s="36" t="n"/>
      <c r="H48" s="36" t="n"/>
    </row>
    <row r="49" ht="30" customHeight="1" s="88">
      <c r="A49" s="36" t="n">
        <v>50</v>
      </c>
      <c r="B49" s="36" t="inlineStr">
        <is>
          <t>Reliability, Idempotency and Recovery</t>
        </is>
      </c>
      <c r="C49" s="36" t="inlineStr">
        <is>
          <t>9. Monitoring &amp; Recovery</t>
        </is>
      </c>
      <c r="D49" s="36" t="inlineStr">
        <is>
          <t>Not Started</t>
        </is>
      </c>
      <c r="E49" s="102" t="n">
        <v>0</v>
      </c>
      <c r="F49" s="36" t="n">
        <v>4</v>
      </c>
      <c r="G49" s="36" t="n"/>
      <c r="H49" s="36" t="n"/>
    </row>
    <row r="50" ht="30" customHeight="1" s="88">
      <c r="A50" s="36" t="n">
        <v>41</v>
      </c>
      <c r="B50" s="36" t="inlineStr">
        <is>
          <t>Managed Identity, Key Vault and Authentication</t>
        </is>
      </c>
      <c r="C50" s="36" t="inlineStr">
        <is>
          <t>10. Security &amp; Sensitive Data</t>
        </is>
      </c>
      <c r="D50" s="36" t="inlineStr">
        <is>
          <t>Not Started</t>
        </is>
      </c>
      <c r="E50" s="102" t="n">
        <v>0</v>
      </c>
      <c r="F50" s="36" t="n">
        <v>3</v>
      </c>
      <c r="G50" s="36" t="n"/>
      <c r="H50" s="36" t="n"/>
    </row>
    <row r="51" ht="30" customHeight="1" s="88">
      <c r="A51" s="36" t="n">
        <v>42</v>
      </c>
      <c r="B51" s="36" t="inlineStr">
        <is>
          <t>CMK and Factory Encryption</t>
        </is>
      </c>
      <c r="C51" s="36" t="inlineStr">
        <is>
          <t>10. Security &amp; Sensitive Data</t>
        </is>
      </c>
      <c r="D51" s="36" t="inlineStr">
        <is>
          <t>Not Started</t>
        </is>
      </c>
      <c r="E51" s="102" t="n">
        <v>0</v>
      </c>
      <c r="F51" s="36" t="n">
        <v>2</v>
      </c>
      <c r="G51" s="36" t="n"/>
      <c r="H51" s="36" t="n"/>
    </row>
    <row r="52" ht="30" customHeight="1" s="88">
      <c r="A52" s="36" t="n">
        <v>43</v>
      </c>
      <c r="B52" s="36" t="inlineStr">
        <is>
          <t>Trusted Service: Legacy vs Modern</t>
        </is>
      </c>
      <c r="C52" s="36" t="inlineStr">
        <is>
          <t>10. Security &amp; Sensitive Data</t>
        </is>
      </c>
      <c r="D52" s="36" t="inlineStr">
        <is>
          <t>Not Started</t>
        </is>
      </c>
      <c r="E52" s="102" t="n">
        <v>0</v>
      </c>
      <c r="F52" s="36" t="n">
        <v>2</v>
      </c>
      <c r="G52" s="36" t="n"/>
      <c r="H52" s="36" t="n"/>
    </row>
    <row r="53" ht="30" customHeight="1" s="88">
      <c r="A53" s="36" t="n">
        <v>45</v>
      </c>
      <c r="B53" s="36" t="inlineStr">
        <is>
          <t>Operational Logging and Sensitive Data</t>
        </is>
      </c>
      <c r="C53" s="36" t="inlineStr">
        <is>
          <t>10. Security &amp; Sensitive Data</t>
        </is>
      </c>
      <c r="D53" s="36" t="inlineStr">
        <is>
          <t>Not Started</t>
        </is>
      </c>
      <c r="E53" s="102" t="n">
        <v>0</v>
      </c>
      <c r="F53" s="36" t="n">
        <v>3</v>
      </c>
      <c r="G53" s="36" t="n"/>
      <c r="H53" s="36" t="n"/>
    </row>
    <row r="54" ht="30" customHeight="1" s="88">
      <c r="A54" s="36" t="n">
        <v>51</v>
      </c>
      <c r="B54" s="36" t="inlineStr">
        <is>
          <t>Copy Performance: DIUs, Parallel Copies and Bottlenecks</t>
        </is>
      </c>
      <c r="C54" s="36" t="inlineStr">
        <is>
          <t>11. Performance, Cost &amp; Concurrency</t>
        </is>
      </c>
      <c r="D54" s="36" t="inlineStr">
        <is>
          <t>Not Started</t>
        </is>
      </c>
      <c r="E54" s="102" t="n">
        <v>0</v>
      </c>
      <c r="F54" s="36" t="n">
        <v>4</v>
      </c>
      <c r="G54" s="36" t="n"/>
      <c r="H54" s="36" t="n"/>
    </row>
    <row r="55" ht="30" customHeight="1" s="88">
      <c r="A55" s="36" t="n">
        <v>52</v>
      </c>
      <c r="B55" s="36" t="inlineStr">
        <is>
          <t>ADF Cost Model and FinOps</t>
        </is>
      </c>
      <c r="C55" s="36" t="inlineStr">
        <is>
          <t>11. Performance, Cost &amp; Concurrency</t>
        </is>
      </c>
      <c r="D55" s="36" t="inlineStr">
        <is>
          <t>Not Started</t>
        </is>
      </c>
      <c r="E55" s="102" t="n">
        <v>0</v>
      </c>
      <c r="F55" s="36" t="n">
        <v>3</v>
      </c>
      <c r="G55" s="36" t="n"/>
      <c r="H55" s="36" t="n"/>
    </row>
    <row r="56" ht="30" customHeight="1" s="88">
      <c r="A56" s="36" t="n">
        <v>53</v>
      </c>
      <c r="B56" s="36" t="inlineStr">
        <is>
          <t>Scale and Concurrency Trade-offs</t>
        </is>
      </c>
      <c r="C56" s="36" t="inlineStr">
        <is>
          <t>11. Performance, Cost &amp; Concurrency</t>
        </is>
      </c>
      <c r="D56" s="36" t="inlineStr">
        <is>
          <t>Not Started</t>
        </is>
      </c>
      <c r="E56" s="102" t="n">
        <v>0</v>
      </c>
      <c r="F56" s="36" t="n">
        <v>3</v>
      </c>
      <c r="G56" s="36" t="n"/>
      <c r="H56" s="36" t="n"/>
    </row>
    <row r="57" ht="30" customHeight="1" s="88">
      <c r="A57" s="36" t="n">
        <v>46</v>
      </c>
      <c r="B57" s="36" t="inlineStr">
        <is>
          <t>Git Integration and Collaboration</t>
        </is>
      </c>
      <c r="C57" s="36" t="inlineStr">
        <is>
          <t>12. CI/CD &amp; Infrastructure as Code</t>
        </is>
      </c>
      <c r="D57" s="36" t="inlineStr">
        <is>
          <t>Not Started</t>
        </is>
      </c>
      <c r="E57" s="102" t="n">
        <v>0</v>
      </c>
      <c r="F57" s="36" t="n">
        <v>2</v>
      </c>
      <c r="G57" s="36" t="n"/>
      <c r="H57" s="36" t="n"/>
    </row>
    <row r="58" ht="30" customHeight="1" s="88">
      <c r="A58" s="36" t="n">
        <v>47</v>
      </c>
      <c r="B58" s="36" t="inlineStr">
        <is>
          <t>ARM Templates and Automated Publishing</t>
        </is>
      </c>
      <c r="C58" s="36" t="inlineStr">
        <is>
          <t>12. CI/CD &amp; Infrastructure as Code</t>
        </is>
      </c>
      <c r="D58" s="36" t="inlineStr">
        <is>
          <t>Not Started</t>
        </is>
      </c>
      <c r="E58" s="102" t="n">
        <v>0</v>
      </c>
      <c r="F58" s="36" t="n">
        <v>3</v>
      </c>
      <c r="G58" s="36" t="n"/>
      <c r="H58" s="36" t="n"/>
    </row>
    <row r="59" ht="30" customHeight="1" s="88">
      <c r="A59" s="36" t="n">
        <v>48</v>
      </c>
      <c r="B59" s="36" t="inlineStr">
        <is>
          <t>Bicep and Infrastructure as Code</t>
        </is>
      </c>
      <c r="C59" s="36" t="inlineStr">
        <is>
          <t>12. CI/CD &amp; Infrastructure as Code</t>
        </is>
      </c>
      <c r="D59" s="36" t="inlineStr">
        <is>
          <t>Not Started</t>
        </is>
      </c>
      <c r="E59" s="102" t="n">
        <v>0</v>
      </c>
      <c r="F59" s="36" t="n">
        <v>2</v>
      </c>
      <c r="G59" s="36" t="n"/>
      <c r="H59" s="36" t="n"/>
    </row>
    <row r="60" ht="30" customHeight="1" s="88">
      <c r="A60" s="36" t="n">
        <v>49</v>
      </c>
      <c r="B60" s="36" t="inlineStr">
        <is>
          <t>Deployment Parameters, Global Parameters and Trigger Handling</t>
        </is>
      </c>
      <c r="C60" s="36" t="inlineStr">
        <is>
          <t>12. CI/CD &amp; Infrastructure as Code</t>
        </is>
      </c>
      <c r="D60" s="36" t="inlineStr">
        <is>
          <t>Not Started</t>
        </is>
      </c>
      <c r="E60" s="102" t="n">
        <v>0</v>
      </c>
      <c r="F60" s="36" t="n">
        <v>3</v>
      </c>
      <c r="G60" s="36" t="n"/>
      <c r="H60" s="36" t="n"/>
    </row>
    <row r="61" ht="30" customHeight="1" s="88">
      <c r="A61" s="36" t="n">
        <v>58</v>
      </c>
      <c r="B61" s="36" t="inlineStr">
        <is>
          <t>Enterprise Migration Architecture</t>
        </is>
      </c>
      <c r="C61" s="36" t="inlineStr">
        <is>
          <t>13. Migration, Service Choice &amp; Fabric</t>
        </is>
      </c>
      <c r="D61" s="36" t="inlineStr">
        <is>
          <t>Not Started</t>
        </is>
      </c>
      <c r="E61" s="102" t="n">
        <v>0</v>
      </c>
      <c r="F61" s="36" t="n">
        <v>6</v>
      </c>
      <c r="G61" s="36" t="n"/>
      <c r="H61" s="36" t="n"/>
    </row>
    <row r="62" ht="30" customHeight="1" s="88">
      <c r="A62" s="36" t="n">
        <v>2</v>
      </c>
      <c r="B62" s="36" t="inlineStr">
        <is>
          <t>ADF vs Databricks vs Synapse vs Fabric Data Factory</t>
        </is>
      </c>
      <c r="C62" s="36" t="inlineStr">
        <is>
          <t>13. Migration, Service Choice &amp; Fabric</t>
        </is>
      </c>
      <c r="D62" s="36" t="inlineStr">
        <is>
          <t>Not Started</t>
        </is>
      </c>
      <c r="E62" s="102" t="n">
        <v>0</v>
      </c>
      <c r="F62" s="36" t="n">
        <v>2</v>
      </c>
      <c r="G62" s="36" t="n"/>
      <c r="H62" s="36" t="n"/>
    </row>
    <row r="63" ht="30" customHeight="1" s="88">
      <c r="A63" s="36" t="n">
        <v>54</v>
      </c>
      <c r="B63" s="36" t="inlineStr">
        <is>
          <t>Architecture Trade-offs: ADF vs Databricks vs Synapse</t>
        </is>
      </c>
      <c r="C63" s="36" t="inlineStr">
        <is>
          <t>13. Migration, Service Choice &amp; Fabric</t>
        </is>
      </c>
      <c r="D63" s="36" t="inlineStr">
        <is>
          <t>Not Started</t>
        </is>
      </c>
      <c r="E63" s="102" t="n">
        <v>0</v>
      </c>
      <c r="F63" s="36" t="n">
        <v>3</v>
      </c>
      <c r="G63" s="36" t="n"/>
      <c r="H63" s="36" t="n"/>
    </row>
    <row r="64" ht="30" customHeight="1" s="88">
      <c r="A64" s="36" t="n">
        <v>57</v>
      </c>
      <c r="B64" s="36" t="inlineStr">
        <is>
          <t>ADF vs Fabric Data Factory in 2026</t>
        </is>
      </c>
      <c r="C64" s="36" t="inlineStr">
        <is>
          <t>13. Migration, Service Choice &amp; Fabric</t>
        </is>
      </c>
      <c r="D64" s="36" t="inlineStr">
        <is>
          <t>Not Started</t>
        </is>
      </c>
      <c r="E64" s="102" t="n">
        <v>0</v>
      </c>
      <c r="F64" s="36" t="n">
        <v>3</v>
      </c>
      <c r="G64" s="36" t="n"/>
      <c r="H64" s="36" t="n"/>
    </row>
    <row r="65" ht="30" customHeight="1" s="88">
      <c r="A65" s="36" t="n">
        <v>59</v>
      </c>
      <c r="B65" s="36" t="inlineStr">
        <is>
          <t>ADF Interview Scenario Drills</t>
        </is>
      </c>
      <c r="C65" s="36" t="inlineStr">
        <is>
          <t>14. Interview Readiness &amp; Capstones</t>
        </is>
      </c>
      <c r="D65" s="36" t="inlineStr">
        <is>
          <t>Not Started</t>
        </is>
      </c>
      <c r="E65" s="102" t="n">
        <v>0</v>
      </c>
      <c r="F65" s="36" t="n">
        <v>6</v>
      </c>
      <c r="G65" s="36" t="n"/>
      <c r="H65" s="36" t="n"/>
    </row>
    <row r="66">
      <c r="A66" s="36" t="n">
        <v>60</v>
      </c>
      <c r="B66" s="36" t="inlineStr">
        <is>
          <t>ADF Architecture Review Capstone</t>
        </is>
      </c>
      <c r="C66" s="36" t="inlineStr">
        <is>
          <t>14. Interview Readiness &amp; Capstones</t>
        </is>
      </c>
      <c r="D66" s="36" t="inlineStr">
        <is>
          <t>Not Started</t>
        </is>
      </c>
      <c r="E66" s="102" t="n">
        <v>0</v>
      </c>
      <c r="F66" s="36" t="n">
        <v>8</v>
      </c>
      <c r="G66" s="36" t="n"/>
      <c r="H66" s="36" t="n"/>
    </row>
  </sheetData>
  <mergeCells count="2">
    <mergeCell ref="J1:N1"/>
    <mergeCell ref="A1:H1"/>
  </mergeCells>
  <conditionalFormatting sqref="D6:D66">
    <cfRule type="expression" priority="1" dxfId="0">
      <formula>D6="Completed"</formula>
    </cfRule>
    <cfRule type="expression" priority="2" dxfId="1">
      <formula>D6="In Progress"</formula>
    </cfRule>
    <cfRule type="expression" priority="3" dxfId="2">
      <formula>D6="Blocked"</formula>
    </cfRule>
  </conditionalFormatting>
  <conditionalFormatting sqref="E6:E66">
    <cfRule type="dataBar" priority="4">
      <dataBar>
        <cfvo type="min"/>
        <cfvo type="max"/>
        <color rgb="FF4472C4"/>
      </dataBar>
    </cfRule>
  </conditionalFormatting>
  <dataValidations count="2">
    <dataValidation sqref="D6:D66" showDropDown="0" showInputMessage="0" showErrorMessage="0" allowBlank="1" type="list">
      <formula1>"Not Started,In Progress,Completed,Blocked"</formula1>
    </dataValidation>
    <dataValidation sqref="E6:E66" showDropDown="0" showInputMessage="0" showErrorMessage="0" allowBlank="1" type="decimal" operator="between">
      <formula1>0</formula1>
      <formula2>100</formula2>
    </dataValidation>
  </dataValidation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style="88" min="1" max="1"/>
    <col width="40" customWidth="1" style="88" min="2" max="2"/>
    <col width="38" customWidth="1" style="88" min="3" max="3"/>
    <col width="38" customWidth="1" style="88" min="4" max="4"/>
    <col width="46" customWidth="1" style="88" min="5" max="5"/>
    <col width="22" customWidth="1" style="88" min="6" max="6"/>
  </cols>
  <sheetData>
    <row r="1" ht="22" customHeight="1" s="88">
      <c r="A1" s="9" t="inlineStr">
        <is>
          <t>ADF Architecture &amp; Decision Model</t>
        </is>
      </c>
      <c r="B1" s="1" t="n"/>
      <c r="C1" s="1" t="n"/>
      <c r="D1" s="1" t="n"/>
      <c r="E1" s="1" t="n"/>
    </row>
    <row r="2" ht="22" customHeight="1" s="88"/>
    <row r="3" ht="22" customHeight="1" s="88">
      <c r="A3" s="29" t="inlineStr">
        <is>
          <t>Decision Area</t>
        </is>
      </c>
      <c r="B3" s="29" t="inlineStr">
        <is>
          <t>Use ADF When...</t>
        </is>
      </c>
      <c r="C3" s="29" t="inlineStr">
        <is>
          <t>Consider Instead / Alongside</t>
        </is>
      </c>
      <c r="D3" s="29" t="inlineStr">
        <is>
          <t>Key Trade-off</t>
        </is>
      </c>
      <c r="E3" s="29" t="inlineStr">
        <is>
          <t>Interview Framing</t>
        </is>
      </c>
      <c r="F3" s="29" t="inlineStr">
        <is>
          <t>Study Guide Chapters</t>
        </is>
      </c>
    </row>
    <row r="4" ht="50" customHeight="1" s="88">
      <c r="A4" s="36" t="inlineStr">
        <is>
          <t>Orchestration</t>
        </is>
      </c>
      <c r="B4" s="36" t="inlineStr">
        <is>
          <t>You need scheduling, dependency management, retries, triggers and cross-service orchestration.</t>
        </is>
      </c>
      <c r="C4" s="36" t="inlineStr">
        <is>
          <t>Databricks Workflows, Fabric pipelines, Logic Apps depending on scope.</t>
        </is>
      </c>
      <c r="D4" s="36" t="inlineStr">
        <is>
          <t>Central orchestration vs tool-local orchestration.</t>
        </is>
      </c>
      <c r="E4" s="36" t="inlineStr">
        <is>
          <t>Explain why orchestration belongs in ADF and why the transformation engine stays elsewhere.</t>
        </is>
      </c>
      <c r="F4" s="36" t="inlineStr">
        <is>
          <t>Ch 1, Ch 4</t>
        </is>
      </c>
    </row>
    <row r="5" ht="50" customHeight="1" s="88">
      <c r="A5" s="36" t="inlineStr">
        <is>
          <t>Data movement</t>
        </is>
      </c>
      <c r="B5" s="36" t="inlineStr">
        <is>
          <t>You need managed movement between heterogeneous supported sources/sinks.</t>
        </is>
      </c>
      <c r="C5" s="36" t="inlineStr">
        <is>
          <t>Databricks, native database tooling, third-party replication for specialised cases.</t>
        </is>
      </c>
      <c r="D5" s="36" t="inlineStr">
        <is>
          <t>Connector capability, throughput, operational simplicity.</t>
        </is>
      </c>
      <c r="E5" s="36" t="inlineStr">
        <is>
          <t>Talk about source/sink compatibility, IR and recovery—not just 'Copy activity'.</t>
        </is>
      </c>
      <c r="F5" s="36" t="inlineStr">
        <is>
          <t>Ch 7</t>
        </is>
      </c>
    </row>
    <row r="6" ht="50" customHeight="1" s="88">
      <c r="A6" s="36" t="inlineStr">
        <is>
          <t>Heavy Spark transformation</t>
        </is>
      </c>
      <c r="B6" s="36" t="inlineStr">
        <is>
          <t>You need Spark-native large-scale transformation, notebooks or complex engineering.</t>
        </is>
      </c>
      <c r="C6" s="36" t="inlineStr">
        <is>
          <t>Azure Databricks / Synapse Spark.</t>
        </is>
      </c>
      <c r="D6" s="36" t="inlineStr">
        <is>
          <t>Cost, cluster lifecycle, code flexibility, skill set.</t>
        </is>
      </c>
      <c r="E6" s="36" t="inlineStr">
        <is>
          <t>State why ADF should orchestrate rather than become the Spark engine.</t>
        </is>
      </c>
      <c r="F6" s="36" t="inlineStr">
        <is>
          <t>Ch 4, Ch 12, Ch 21</t>
        </is>
      </c>
    </row>
    <row r="7" ht="50" customHeight="1" s="88">
      <c r="A7" s="36" t="inlineStr">
        <is>
          <t>SQL transformation</t>
        </is>
      </c>
      <c r="B7" s="36" t="inlineStr">
        <is>
          <t>The transformation is naturally relational and close to the database/warehouse.</t>
        </is>
      </c>
      <c r="C7" s="36" t="inlineStr">
        <is>
          <t>Azure SQL / Synapse SQL / Databricks SQL.</t>
        </is>
      </c>
      <c r="D7" s="36" t="inlineStr">
        <is>
          <t>Pushdown, data gravity and workload isolation.</t>
        </is>
      </c>
      <c r="E7" s="36" t="inlineStr">
        <is>
          <t>Explain where the data should be processed for cost and performance.</t>
        </is>
      </c>
      <c r="F7" s="36" t="inlineStr">
        <is>
          <t>Ch 2, Ch 12</t>
        </is>
      </c>
    </row>
    <row r="8" ht="50" customHeight="1" s="88">
      <c r="A8" s="36" t="inlineStr">
        <is>
          <t>Visual transformation</t>
        </is>
      </c>
      <c r="B8" s="36" t="inlineStr">
        <is>
          <t>The team wants low-code transformation with ADF-managed Spark.</t>
        </is>
      </c>
      <c r="C8" s="36" t="inlineStr">
        <is>
          <t>Databricks for code-heavy or advanced Spark work.</t>
        </is>
      </c>
      <c r="D8" s="36" t="inlineStr">
        <is>
          <t>Developer productivity vs control and Spark engineering depth.</t>
        </is>
      </c>
      <c r="E8" s="36" t="inlineStr">
        <is>
          <t>Use Data Flow when visual transformation is an explicit requirement and operational fit is good.</t>
        </is>
      </c>
      <c r="F8" s="36" t="inlineStr">
        <is>
          <t>Ch 12</t>
        </is>
      </c>
    </row>
    <row r="9" ht="50" customHeight="1" s="88">
      <c r="A9" s="36" t="inlineStr">
        <is>
          <t>Private/on-prem ingestion</t>
        </is>
      </c>
      <c r="B9" s="36" t="inlineStr">
        <is>
          <t>Sources are behind a private network and need controlled connectivity.</t>
        </is>
      </c>
      <c r="C9" s="36" t="inlineStr">
        <is>
          <t>SHIR, Managed VNet Azure IR with appropriate network connectivity.</t>
        </is>
      </c>
      <c r="D9" s="36" t="inlineStr">
        <is>
          <t>Network path, ownership and security.</t>
        </is>
      </c>
      <c r="E9" s="36" t="inlineStr">
        <is>
          <t>Describe the actual network path; never reduce it to 'SHIR = no VPN'.</t>
        </is>
      </c>
      <c r="F9" s="36" t="inlineStr">
        <is>
          <t>Ch 5, Ch 15</t>
        </is>
      </c>
    </row>
    <row r="10" ht="50" customHeight="1" s="88">
      <c r="A10" s="36" t="inlineStr">
        <is>
          <t>Event ingestion</t>
        </is>
      </c>
      <c r="B10" s="36" t="inlineStr">
        <is>
          <t>Data arrival should trigger processing.</t>
        </is>
      </c>
      <c r="C10" s="36" t="inlineStr">
        <is>
          <t>Storage Event / Custom Event / Event Grid.</t>
        </is>
      </c>
      <c r="D10" s="36" t="inlineStr">
        <is>
          <t>Event filtering, duplicate events, downstream idempotency.</t>
        </is>
      </c>
      <c r="E10" s="36" t="inlineStr">
        <is>
          <t>Explain whether the event represents arrival, completeness or merely notification.</t>
        </is>
      </c>
      <c r="F10" s="36" t="inlineStr">
        <is>
          <t>Ch 6</t>
        </is>
      </c>
    </row>
    <row r="11" ht="50" customHeight="1" s="88">
      <c r="A11" s="36" t="inlineStr">
        <is>
          <t>Time-window processing</t>
        </is>
      </c>
      <c r="B11" s="36" t="inlineStr">
        <is>
          <t>Each time window is a business processing unit and missed windows must be recoverable.</t>
        </is>
      </c>
      <c r="C11" s="36" t="inlineStr">
        <is>
          <t>Schedule trigger for simple wall-clock jobs.</t>
        </is>
      </c>
      <c r="D11" s="36" t="inlineStr">
        <is>
          <t>State, backfill, concurrency and late-arriving data.</t>
        </is>
      </c>
      <c r="E11" s="36" t="inlineStr">
        <is>
          <t>Tumbling windows are about stateful time windows, not simply 'better scheduling'.</t>
        </is>
      </c>
      <c r="F11" s="36" t="inlineStr">
        <is>
          <t>Ch 6</t>
        </is>
      </c>
    </row>
    <row r="12" ht="50" customHeight="1" s="88">
      <c r="A12" s="36" t="inlineStr">
        <is>
          <t>Incremental loads</t>
        </is>
      </c>
      <c r="B12" s="36" t="inlineStr">
        <is>
          <t>Source exposes reliable change timestamps, monotonic keys, Change Tracking or CDC.</t>
        </is>
      </c>
      <c r="C12" s="36" t="inlineStr">
        <is>
          <t>Replication tooling / streaming when low latency is required.</t>
        </is>
      </c>
      <c r="D12" s="36" t="inlineStr">
        <is>
          <t>Correctness around updates/deletes vs simplicity.</t>
        </is>
      </c>
      <c r="E12" s="36" t="inlineStr">
        <is>
          <t>Start with data semantics: what changes must be observed?</t>
        </is>
      </c>
      <c r="F12" s="36" t="inlineStr">
        <is>
          <t>Ch 10, Ch 11</t>
        </is>
      </c>
    </row>
    <row r="13" ht="50" customHeight="1" s="88">
      <c r="A13" s="36" t="inlineStr">
        <is>
          <t>Metadata-driven platform</t>
        </is>
      </c>
      <c r="B13" s="36" t="inlineStr">
        <is>
          <t>Many sources share a common ingestion pattern.</t>
        </is>
      </c>
      <c r="C13" s="36" t="inlineStr">
        <is>
          <t>Hand-built pipelines for highly bespoke flows.</t>
        </is>
      </c>
      <c r="D13" s="36" t="inlineStr">
        <is>
          <t>Framework complexity vs duplication.</t>
        </is>
      </c>
      <c r="E13" s="36" t="inlineStr">
        <is>
          <t>Use metadata-driven design to standardise, not to create an opaque framework nobody owns.</t>
        </is>
      </c>
      <c r="F13" s="36" t="inlineStr">
        <is>
          <t>Ch 10, Ch 20</t>
        </is>
      </c>
    </row>
    <row r="14" ht="50" customHeight="1" s="88">
      <c r="A14" s="36" t="inlineStr">
        <is>
          <t>Security</t>
        </is>
      </c>
      <c r="B14" s="36" t="inlineStr">
        <is>
          <t>Enterprise identity, Key Vault, RBAC, networking and controlled logging matter.</t>
        </is>
      </c>
      <c r="C14" s="36" t="inlineStr">
        <is>
          <t>Platform-wide governance tools alongside ADF.</t>
        </is>
      </c>
      <c r="D14" s="36" t="inlineStr">
        <is>
          <t>Security controls must span ADF, data stores and network.</t>
        </is>
      </c>
      <c r="E14" s="36" t="inlineStr">
        <is>
          <t>State the control, the data it protects and where enforcement occurs.</t>
        </is>
      </c>
      <c r="F14" s="36" t="inlineStr">
        <is>
          <t>Ch 15, Ch 16</t>
        </is>
      </c>
    </row>
    <row r="15" ht="50" customHeight="1" s="88">
      <c r="A15" s="36" t="inlineStr">
        <is>
          <t>CI/CD</t>
        </is>
      </c>
      <c r="B15" s="36" t="inlineStr">
        <is>
          <t>Multiple environments require repeatable promotion and auditability.</t>
        </is>
      </c>
      <c r="C15" s="36" t="inlineStr">
        <is>
          <t>IaC + release tooling around ADF.</t>
        </is>
      </c>
      <c r="D15" s="36" t="inlineStr">
        <is>
          <t>Template generation, parameters and trigger handling.</t>
        </is>
      </c>
      <c r="E15" s="36" t="inlineStr">
        <is>
          <t>Separate Microsoft product behavior from your team's deployment policy.</t>
        </is>
      </c>
      <c r="F15" s="36" t="inlineStr">
        <is>
          <t>Ch 19</t>
        </is>
      </c>
    </row>
    <row r="16" ht="50" customHeight="1" s="88">
      <c r="A16" s="36" t="inlineStr">
        <is>
          <t>Fabric decision</t>
        </is>
      </c>
      <c r="B16" s="36" t="inlineStr">
        <is>
          <t>The organisation is adopting Fabric as the strategic analytics/data integration platform.</t>
        </is>
      </c>
      <c r="C16" s="36" t="inlineStr">
        <is>
          <t>Azure ADF for existing Azure PaaS estate and specific capability/network requirements.</t>
        </is>
      </c>
      <c r="D16" s="36" t="inlineStr">
        <is>
          <t>Migration effort, feature parity, capacity model and platform strategy.</t>
        </is>
      </c>
      <c r="E16" s="36" t="inlineStr">
        <is>
          <t>Do not say ADF is obsolete; discuss estate, requirements and direction.</t>
        </is>
      </c>
      <c r="F16" s="36" t="inlineStr">
        <is>
          <t>Ch 21, Ch 22</t>
        </is>
      </c>
    </row>
  </sheetData>
  <mergeCells count="1"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4" customWidth="1" style="88" min="1" max="1"/>
    <col width="50" customWidth="1" style="88" min="2" max="2"/>
    <col width="30" customWidth="1" style="88" min="3" max="3"/>
    <col width="12" customWidth="1" style="88" min="4" max="4"/>
    <col width="44" customWidth="1" style="88" min="5" max="5"/>
    <col width="18" customWidth="1" style="88" min="6" max="6"/>
    <col width="24" customWidth="1" style="88" min="7" max="7"/>
  </cols>
  <sheetData>
    <row r="1" ht="22" customHeight="1" s="88">
      <c r="A1" s="9" t="inlineStr">
        <is>
          <t>ADF Practical Portfolio &amp; Interview Scenarios</t>
        </is>
      </c>
      <c r="B1" s="1" t="n"/>
      <c r="C1" s="1" t="n"/>
      <c r="D1" s="1" t="n"/>
      <c r="E1" s="1" t="n"/>
      <c r="F1" s="1" t="n"/>
    </row>
    <row r="2" ht="22" customHeight="1" s="88"/>
    <row r="3" ht="22" customHeight="1" s="88">
      <c r="A3" s="29" t="inlineStr">
        <is>
          <t>Artifact / Scenario</t>
        </is>
      </c>
      <c r="B3" s="29" t="inlineStr">
        <is>
          <t>What It Demonstrates</t>
        </is>
      </c>
      <c r="C3" s="29" t="inlineStr">
        <is>
          <t>Target Role Fit</t>
        </is>
      </c>
      <c r="D3" s="29" t="inlineStr">
        <is>
          <t>Est. Hours</t>
        </is>
      </c>
      <c r="E3" s="29" t="inlineStr">
        <is>
          <t>Output</t>
        </is>
      </c>
      <c r="F3" s="29" t="inlineStr">
        <is>
          <t>Priority</t>
        </is>
      </c>
      <c r="G3" s="29" t="inlineStr">
        <is>
          <t>Study Guide Chapters</t>
        </is>
      </c>
    </row>
    <row r="4" ht="48" customHeight="1" s="88">
      <c r="A4" s="36" t="inlineStr">
        <is>
          <t>1. Hybrid Ingestion Architecture</t>
        </is>
      </c>
      <c r="B4" s="36" t="inlineStr">
        <is>
          <t>ADF + SHIR + ADLS + SQL; network path, ownership, monitoring and recovery.</t>
        </is>
      </c>
      <c r="C4" s="36" t="inlineStr">
        <is>
          <t>PO / Program / Cloud EM</t>
        </is>
      </c>
      <c r="D4" s="36" t="n">
        <v>8</v>
      </c>
      <c r="E4" s="36" t="inlineStr">
        <is>
          <t>Architecture diagram + operating checklist</t>
        </is>
      </c>
      <c r="F4" s="36" t="inlineStr">
        <is>
          <t>1 - Build First</t>
        </is>
      </c>
      <c r="G4" s="36" t="inlineStr">
        <is>
          <t>Ch 5, Ch 7, Ch 13, Ch 14</t>
        </is>
      </c>
    </row>
    <row r="5" ht="48" customHeight="1" s="88">
      <c r="A5" s="36" t="inlineStr">
        <is>
          <t>2. Metadata-Driven Multi-Table Loader</t>
        </is>
      </c>
      <c r="B5" s="36" t="inlineStr">
        <is>
          <t>Control table, parameterised datasets, ForEach, concurrency and idempotency.</t>
        </is>
      </c>
      <c r="C5" s="36" t="inlineStr">
        <is>
          <t>TPM / EM / Program</t>
        </is>
      </c>
      <c r="D5" s="36" t="n">
        <v>8</v>
      </c>
      <c r="E5" s="36" t="inlineStr">
        <is>
          <t>Control-table design + pipeline pattern</t>
        </is>
      </c>
      <c r="F5" s="36" t="inlineStr">
        <is>
          <t>2 - Build Second</t>
        </is>
      </c>
      <c r="G5" s="36" t="inlineStr">
        <is>
          <t>Ch 4, Ch 10, Ch 20</t>
        </is>
      </c>
    </row>
    <row r="6" ht="48" customHeight="1" s="88">
      <c r="A6" s="36" t="inlineStr">
        <is>
          <t>3. Incremental/CDC Pipeline</t>
        </is>
      </c>
      <c r="B6" s="36" t="inlineStr">
        <is>
          <t>Watermark vs CDC, checkpoint handling, merge/upsert and reconciliation.</t>
        </is>
      </c>
      <c r="C6" s="36" t="inlineStr">
        <is>
          <t>Data Platform PM / EM</t>
        </is>
      </c>
      <c r="D6" s="36" t="n">
        <v>8</v>
      </c>
      <c r="E6" s="36" t="inlineStr">
        <is>
          <t>Incremental-load design + cutover plan</t>
        </is>
      </c>
      <c r="F6" s="36" t="inlineStr">
        <is>
          <t>3 - Build Third</t>
        </is>
      </c>
      <c r="G6" s="36" t="inlineStr">
        <is>
          <t>Ch 10, Ch 11</t>
        </is>
      </c>
    </row>
    <row r="7" ht="48" customHeight="1" s="88">
      <c r="A7" s="36" t="inlineStr">
        <is>
          <t>4. Data Migration Reconciliation Pack</t>
        </is>
      </c>
      <c r="B7" s="36" t="inlineStr">
        <is>
          <t>Counts, profiles, row fingerprints, assertions and sign-off criteria.</t>
        </is>
      </c>
      <c r="C7" s="36" t="inlineStr">
        <is>
          <t>Program / Delivery / EM</t>
        </is>
      </c>
      <c r="D7" s="36" t="n">
        <v>6</v>
      </c>
      <c r="E7" s="36" t="inlineStr">
        <is>
          <t>Reconciliation strategy + acceptance checklist</t>
        </is>
      </c>
      <c r="F7" s="36" t="inlineStr">
        <is>
          <t>4 - Build Fourth</t>
        </is>
      </c>
      <c r="G7" s="36" t="inlineStr">
        <is>
          <t>Ch 8, Ch 9</t>
        </is>
      </c>
    </row>
    <row r="8" ht="48" customHeight="1" s="88">
      <c r="A8" s="36" t="inlineStr">
        <is>
          <t>5. ADF Security &amp; Network Review</t>
        </is>
      </c>
      <c r="B8" s="36" t="inlineStr">
        <is>
          <t>Managed identity, Key Vault, Managed VNet, managed private endpoints, trusted service.</t>
        </is>
      </c>
      <c r="C8" s="36" t="inlineStr">
        <is>
          <t>Cloud EM / Architecture</t>
        </is>
      </c>
      <c r="D8" s="36" t="n">
        <v>6</v>
      </c>
      <c r="E8" s="36" t="inlineStr">
        <is>
          <t>Security review + threat/control matrix</t>
        </is>
      </c>
      <c r="F8" s="36" t="inlineStr">
        <is>
          <t>5 - Build Fifth</t>
        </is>
      </c>
      <c r="G8" s="36" t="inlineStr">
        <is>
          <t>Ch 5, Ch 15, Ch 16</t>
        </is>
      </c>
    </row>
    <row r="9" ht="48" customHeight="1" s="88">
      <c r="A9" s="36" t="inlineStr">
        <is>
          <t>6. CI/CD Release Design</t>
        </is>
      </c>
      <c r="B9" s="36" t="inlineStr">
        <is>
          <t>Git, ARM template generation, environment parameters, Bicep, trigger handling.</t>
        </is>
      </c>
      <c r="C9" s="36" t="inlineStr">
        <is>
          <t>Program / Delivery / EM</t>
        </is>
      </c>
      <c r="D9" s="36" t="n">
        <v>6</v>
      </c>
      <c r="E9" s="36" t="inlineStr">
        <is>
          <t>Release architecture + deployment checklist</t>
        </is>
      </c>
      <c r="F9" s="36" t="inlineStr">
        <is>
          <t>6 - Build Sixth</t>
        </is>
      </c>
      <c r="G9" s="36" t="inlineStr">
        <is>
          <t>Ch 19</t>
        </is>
      </c>
    </row>
    <row r="10" ht="48" customHeight="1" s="88">
      <c r="A10" s="36" t="inlineStr">
        <is>
          <t>7. Performance &amp; Cost Case</t>
        </is>
      </c>
      <c r="B10" s="36" t="inlineStr">
        <is>
          <t>Copy tuning, DIUs, concurrency, Data Flow performance, cost drivers.</t>
        </is>
      </c>
      <c r="C10" s="36" t="inlineStr">
        <is>
          <t>PO / EM / Program</t>
        </is>
      </c>
      <c r="D10" s="36" t="n">
        <v>6</v>
      </c>
      <c r="E10" s="36" t="inlineStr">
        <is>
          <t>Performance diagnosis + FinOps note</t>
        </is>
      </c>
      <c r="F10" s="36" t="inlineStr">
        <is>
          <t>7 - Build Seventh</t>
        </is>
      </c>
      <c r="G10" s="36" t="inlineStr">
        <is>
          <t>Ch 17, Ch 18</t>
        </is>
      </c>
    </row>
    <row r="11" ht="48" customHeight="1" s="88">
      <c r="A11" s="36" t="inlineStr">
        <is>
          <t>8. ADF vs Databricks vs Fabric Decision</t>
        </is>
      </c>
      <c r="B11" s="36" t="inlineStr">
        <is>
          <t>Architecture selection with explicit assumptions and trade-offs.</t>
        </is>
      </c>
      <c r="C11" s="36" t="inlineStr">
        <is>
          <t>Product / Architecture / EM</t>
        </is>
      </c>
      <c r="D11" s="36" t="n">
        <v>5</v>
      </c>
      <c r="E11" s="36" t="inlineStr">
        <is>
          <t>Executive decision memo</t>
        </is>
      </c>
      <c r="F11" s="36" t="inlineStr">
        <is>
          <t>8 - Build Eighth</t>
        </is>
      </c>
      <c r="G11" s="36" t="inlineStr">
        <is>
          <t>Ch 21, Ch 22</t>
        </is>
      </c>
    </row>
    <row r="12" ht="48" customHeight="1" s="88">
      <c r="A12" s="36" t="inlineStr">
        <is>
          <t>9. Enterprise Migration Case</t>
        </is>
      </c>
      <c r="B12" s="36" t="inlineStr">
        <is>
          <t>100–500 tables, hybrid sources, cutover, DR, reconciliation, operations.</t>
        </is>
      </c>
      <c r="C12" s="36" t="inlineStr">
        <is>
          <t>Program / Product / EM</t>
        </is>
      </c>
      <c r="D12" s="36" t="n">
        <v>10</v>
      </c>
      <c r="E12" s="36" t="inlineStr">
        <is>
          <t>End-to-end case study</t>
        </is>
      </c>
      <c r="F12" s="36" t="inlineStr">
        <is>
          <t>9 - Capstone</t>
        </is>
      </c>
      <c r="G12" s="36" t="inlineStr">
        <is>
          <t>Ch 20, Ch 14, Ch 9</t>
        </is>
      </c>
    </row>
    <row r="13" ht="48" customHeight="1" s="88">
      <c r="A13" s="36" t="inlineStr">
        <is>
          <t>10. Interview Scenario Pack</t>
        </is>
      </c>
      <c r="B13" s="36" t="inlineStr">
        <is>
          <t>Ten 2–3 minute answers covering incidents, cost, security, migration and architecture.</t>
        </is>
      </c>
      <c r="C13" s="36" t="inlineStr">
        <is>
          <t>All target roles</t>
        </is>
      </c>
      <c r="D13" s="36" t="n">
        <v>6</v>
      </c>
      <c r="E13" s="36" t="inlineStr">
        <is>
          <t>Written/recorded answer pack</t>
        </is>
      </c>
      <c r="F13" s="36" t="inlineStr">
        <is>
          <t>10 - Interview</t>
        </is>
      </c>
      <c r="G13" s="36" t="inlineStr">
        <is>
          <t>Ch 23, Ch 13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8" customWidth="1" style="88" min="1" max="1"/>
    <col width="38" customWidth="1" style="88" min="2" max="2"/>
    <col width="42" customWidth="1" style="88" min="3" max="3"/>
    <col width="16" customWidth="1" style="88" min="4" max="4"/>
    <col width="70" customWidth="1" style="88" min="5" max="5"/>
    <col width="22" customWidth="1" style="88" min="6" max="6"/>
  </cols>
  <sheetData>
    <row r="1" ht="22" customHeight="1" s="88">
      <c r="A1" s="9" t="inlineStr">
        <is>
          <t>ADF Official Learning &amp; Reference Map</t>
        </is>
      </c>
      <c r="B1" s="1" t="n"/>
      <c r="C1" s="1" t="n"/>
      <c r="D1" s="1" t="n"/>
      <c r="E1" s="1" t="n"/>
    </row>
    <row r="2" ht="22" customHeight="1" s="88">
      <c r="A2" s="87" t="inlineStr">
        <is>
          <t>Use Microsoft Learn as the source of truth. Re-check volatile connector capabilities, limits, pricing, preview status and retirement dates before interviews or production decisions.</t>
        </is>
      </c>
      <c r="B2" s="1" t="n"/>
      <c r="C2" s="1" t="n"/>
      <c r="D2" s="1" t="n"/>
      <c r="E2" s="1" t="n"/>
    </row>
    <row r="3" ht="22" customHeight="1" s="88"/>
    <row r="4" ht="22" customHeight="1" s="88">
      <c r="A4" s="29" t="inlineStr">
        <is>
          <t>Resource</t>
        </is>
      </c>
      <c r="B4" s="29" t="inlineStr">
        <is>
          <t>Where It Helps</t>
        </is>
      </c>
      <c r="C4" s="29" t="inlineStr">
        <is>
          <t>How to Use</t>
        </is>
      </c>
      <c r="D4" s="29" t="inlineStr">
        <is>
          <t>Freshness Risk</t>
        </is>
      </c>
      <c r="E4" s="29" t="inlineStr">
        <is>
          <t>URL</t>
        </is>
      </c>
      <c r="F4" s="29" t="inlineStr">
        <is>
          <t>Study Guide Chapters</t>
        </is>
      </c>
    </row>
    <row r="5" ht="42" customHeight="1" s="88">
      <c r="A5" s="36" t="inlineStr">
        <is>
          <t>ADF overview</t>
        </is>
      </c>
      <c r="B5" s="36" t="inlineStr">
        <is>
          <t>Service model, concepts and role in Azure data integration</t>
        </is>
      </c>
      <c r="C5" s="36" t="inlineStr">
        <is>
          <t>Read first for vocabulary and architecture framing.</t>
        </is>
      </c>
      <c r="D5" s="36" t="inlineStr">
        <is>
          <t>Low</t>
        </is>
      </c>
      <c r="E5" s="36" t="inlineStr">
        <is>
          <t>https://learn.microsoft.com/en-us/azure/data-factory/</t>
        </is>
      </c>
      <c r="F5" s="36" t="inlineStr">
        <is>
          <t>Ch 1, Ch 2</t>
        </is>
      </c>
    </row>
    <row r="6" ht="42" customHeight="1" s="88">
      <c r="A6" s="36" t="inlineStr">
        <is>
          <t>Pipelines &amp; activities</t>
        </is>
      </c>
      <c r="B6" s="36" t="inlineStr">
        <is>
          <t>Activity categories, dependencies, defaults and limits</t>
        </is>
      </c>
      <c r="C6" s="36" t="inlineStr">
        <is>
          <t>Use as the core control-flow reference.</t>
        </is>
      </c>
      <c r="D6" s="36" t="inlineStr">
        <is>
          <t>Medium</t>
        </is>
      </c>
      <c r="E6" s="36" t="inlineStr">
        <is>
          <t>https://learn.microsoft.com/en-us/azure/data-factory/concepts-pipelines-activities</t>
        </is>
      </c>
      <c r="F6" s="36" t="inlineStr">
        <is>
          <t>Ch 4</t>
        </is>
      </c>
    </row>
    <row r="7" ht="42" customHeight="1" s="88">
      <c r="A7" s="36" t="inlineStr">
        <is>
          <t>Parameters &amp; variables</t>
        </is>
      </c>
      <c r="B7" s="36" t="inlineStr">
        <is>
          <t>Parameterization, variables and dynamic reuse</t>
        </is>
      </c>
      <c r="C7" s="36" t="inlineStr">
        <is>
          <t>Use when designing reusable pipelines.</t>
        </is>
      </c>
      <c r="D7" s="36" t="inlineStr">
        <is>
          <t>Medium</t>
        </is>
      </c>
      <c r="E7" s="36" t="inlineStr">
        <is>
          <t>https://learn.microsoft.com/en-us/azure/data-factory/concepts-parameters-variables</t>
        </is>
      </c>
      <c r="F7" s="36" t="inlineStr">
        <is>
          <t>Ch 3, Ch 4</t>
        </is>
      </c>
    </row>
    <row r="8" ht="42" customHeight="1" s="88">
      <c r="A8" s="36" t="inlineStr">
        <is>
          <t>Integration Runtime</t>
        </is>
      </c>
      <c r="B8" s="36" t="inlineStr">
        <is>
          <t>Azure IR, SHIR, Azure-SSIS and connectivity</t>
        </is>
      </c>
      <c r="C8" s="36" t="inlineStr">
        <is>
          <t>Use before choosing network topology.</t>
        </is>
      </c>
      <c r="D8" s="36" t="inlineStr">
        <is>
          <t>High</t>
        </is>
      </c>
      <c r="E8" s="36" t="inlineStr">
        <is>
          <t>https://learn.microsoft.com/en-us/azure/data-factory/choose-the-right-integration-runtime-configuration</t>
        </is>
      </c>
      <c r="F8" s="36" t="inlineStr">
        <is>
          <t>Ch 5</t>
        </is>
      </c>
    </row>
    <row r="9" ht="42" customHeight="1" s="88">
      <c r="A9" s="36" t="inlineStr">
        <is>
          <t>Managed VNet / private endpoint</t>
        </is>
      </c>
      <c r="B9" s="36" t="inlineStr">
        <is>
          <t>Private connectivity and managed network concepts</t>
        </is>
      </c>
      <c r="C9" s="36" t="inlineStr">
        <is>
          <t>Use for enterprise networking decisions.</t>
        </is>
      </c>
      <c r="D9" s="36" t="inlineStr">
        <is>
          <t>High</t>
        </is>
      </c>
      <c r="E9" s="36" t="inlineStr">
        <is>
          <t>https://learn.microsoft.com/en-us/azure/data-factory/managed-virtual-network-private-endpoint</t>
        </is>
      </c>
      <c r="F9" s="36" t="inlineStr">
        <is>
          <t>Ch 5, Ch 15</t>
        </is>
      </c>
    </row>
    <row r="10" ht="42" customHeight="1" s="88">
      <c r="A10" s="36" t="inlineStr">
        <is>
          <t>Copy Activity</t>
        </is>
      </c>
      <c r="B10" s="36" t="inlineStr">
        <is>
          <t>Movement, mapping, formats, fault tolerance and resume</t>
        </is>
      </c>
      <c r="C10" s="36" t="inlineStr">
        <is>
          <t>Use as the primary Copy reference.</t>
        </is>
      </c>
      <c r="D10" s="36" t="inlineStr">
        <is>
          <t>High</t>
        </is>
      </c>
      <c r="E10" s="36" t="inlineStr">
        <is>
          <t>https://learn.microsoft.com/en-us/azure/data-factory/copy-activity-overview</t>
        </is>
      </c>
      <c r="F10" s="36" t="inlineStr">
        <is>
          <t>Ch 7</t>
        </is>
      </c>
    </row>
    <row r="11" ht="42" customHeight="1" s="88">
      <c r="A11" s="36" t="inlineStr">
        <is>
          <t>Data consistency</t>
        </is>
      </c>
      <c r="B11" s="36" t="inlineStr">
        <is>
          <t>What Copy verification does and does not prove</t>
        </is>
      </c>
      <c r="C11" s="36" t="inlineStr">
        <is>
          <t>Use for migration acceptance design.</t>
        </is>
      </c>
      <c r="D11" s="36" t="inlineStr">
        <is>
          <t>Medium</t>
        </is>
      </c>
      <c r="E11" s="36" t="inlineStr">
        <is>
          <t>https://learn.microsoft.com/en-us/azure/data-factory/copy-activity-data-consistency</t>
        </is>
      </c>
      <c r="F11" s="36" t="inlineStr">
        <is>
          <t>Ch 8</t>
        </is>
      </c>
    </row>
    <row r="12" ht="42" customHeight="1" s="88">
      <c r="A12" s="36" t="inlineStr">
        <is>
          <t>Incremental copy</t>
        </is>
      </c>
      <c r="B12" s="36" t="inlineStr">
        <is>
          <t>Watermark and delta-load patterns</t>
        </is>
      </c>
      <c r="C12" s="36" t="inlineStr">
        <is>
          <t>Use for incremental-load design.</t>
        </is>
      </c>
      <c r="D12" s="36" t="inlineStr">
        <is>
          <t>Medium</t>
        </is>
      </c>
      <c r="E12" s="36" t="inlineStr">
        <is>
          <t>https://learn.microsoft.com/en-us/azure/data-factory/tutorial-incremental-copy-overview</t>
        </is>
      </c>
      <c r="F12" s="36" t="inlineStr">
        <is>
          <t>Ch 10</t>
        </is>
      </c>
    </row>
    <row r="13" ht="42" customHeight="1" s="88">
      <c r="A13" s="36" t="inlineStr">
        <is>
          <t>CDC</t>
        </is>
      </c>
      <c r="B13" s="36" t="inlineStr">
        <is>
          <t>Change capture and checkpoint semantics</t>
        </is>
      </c>
      <c r="C13" s="36" t="inlineStr">
        <is>
          <t>Re-check current behavior because Microsoft pages may differ.</t>
        </is>
      </c>
      <c r="D13" s="36" t="inlineStr">
        <is>
          <t>High</t>
        </is>
      </c>
      <c r="E13" s="36" t="inlineStr">
        <is>
          <t>https://learn.microsoft.com/en-us/azure/data-factory/concepts-change-data-capture</t>
        </is>
      </c>
      <c r="F13" s="36" t="inlineStr">
        <is>
          <t>Ch 11</t>
        </is>
      </c>
    </row>
    <row r="14" ht="42" customHeight="1" s="88">
      <c r="A14" s="36" t="inlineStr">
        <is>
          <t>Mapping Data Flow</t>
        </is>
      </c>
      <c r="B14" s="36" t="inlineStr">
        <is>
          <t>Visual Spark-based transformation</t>
        </is>
      </c>
      <c r="C14" s="36" t="inlineStr">
        <is>
          <t>Use for Data Flow fundamentals and design.</t>
        </is>
      </c>
      <c r="D14" s="36" t="inlineStr">
        <is>
          <t>Medium</t>
        </is>
      </c>
      <c r="E14" s="36" t="inlineStr">
        <is>
          <t>https://learn.microsoft.com/en-us/azure/data-factory/concepts-data-flow-overview</t>
        </is>
      </c>
      <c r="F14" s="36" t="inlineStr">
        <is>
          <t>Ch 12</t>
        </is>
      </c>
    </row>
    <row r="15" ht="42" customHeight="1" s="88">
      <c r="A15" s="36" t="inlineStr">
        <is>
          <t>Data Flow performance</t>
        </is>
      </c>
      <c r="B15" s="36" t="inlineStr">
        <is>
          <t>Cluster, partitioning and performance tuning</t>
        </is>
      </c>
      <c r="C15" s="36" t="inlineStr">
        <is>
          <t>Use when explaining bottleneck diagnosis.</t>
        </is>
      </c>
      <c r="D15" s="36" t="inlineStr">
        <is>
          <t>High</t>
        </is>
      </c>
      <c r="E15" s="36" t="inlineStr">
        <is>
          <t>https://learn.microsoft.com/en-us/azure/data-factory/concepts-data-flow-performance</t>
        </is>
      </c>
      <c r="F15" s="36" t="inlineStr">
        <is>
          <t>Ch 12, Ch 18</t>
        </is>
      </c>
    </row>
    <row r="16" ht="42" customHeight="1" s="88">
      <c r="A16" s="36" t="inlineStr">
        <is>
          <t>Key Vault / credentials</t>
        </is>
      </c>
      <c r="B16" s="36" t="inlineStr">
        <is>
          <t>Managed identity and secret handling</t>
        </is>
      </c>
      <c r="C16" s="36" t="inlineStr">
        <is>
          <t>Use as the enterprise security baseline.</t>
        </is>
      </c>
      <c r="D16" s="36" t="inlineStr">
        <is>
          <t>High</t>
        </is>
      </c>
      <c r="E16" s="36" t="inlineStr">
        <is>
          <t>https://learn.microsoft.com/en-us/azure/data-factory/credentials</t>
        </is>
      </c>
      <c r="F16" s="36" t="inlineStr">
        <is>
          <t>Ch 3, Ch 15</t>
        </is>
      </c>
    </row>
    <row r="17" ht="42" customHeight="1" s="88">
      <c r="A17" s="36" t="inlineStr">
        <is>
          <t>Customer-managed key</t>
        </is>
      </c>
      <c r="B17" s="36" t="inlineStr">
        <is>
          <t>CMK prerequisites and lifecycle</t>
        </is>
      </c>
      <c r="C17" s="36" t="inlineStr">
        <is>
          <t>Use only after checking current limitations.</t>
        </is>
      </c>
      <c r="D17" s="36" t="inlineStr">
        <is>
          <t>High</t>
        </is>
      </c>
      <c r="E17" s="36" t="inlineStr">
        <is>
          <t>https://learn.microsoft.com/en-us/azure/data-factory/enable-customer-managed-key</t>
        </is>
      </c>
      <c r="F17" s="36" t="inlineStr">
        <is>
          <t>Ch 15</t>
        </is>
      </c>
    </row>
    <row r="18" ht="42" customHeight="1" s="88">
      <c r="A18" s="36" t="inlineStr">
        <is>
          <t>Trusted Service</t>
        </is>
      </c>
      <c r="B18" s="36" t="inlineStr">
        <is>
          <t>Legacy vs Modern trust model</t>
        </is>
      </c>
      <c r="C18" s="36" t="inlineStr">
        <is>
          <t>Re-check retirement timeline before deployment.</t>
        </is>
      </c>
      <c r="D18" s="36" t="inlineStr">
        <is>
          <t>High</t>
        </is>
      </c>
      <c r="E18" s="36" t="inlineStr">
        <is>
          <t>https://learn.microsoft.com/en-us/azure/data-factory/modern-trusted-service</t>
        </is>
      </c>
      <c r="F18" s="36" t="inlineStr">
        <is>
          <t>Ch 15</t>
        </is>
      </c>
    </row>
    <row r="19" ht="42" customHeight="1" s="88">
      <c r="A19" s="36" t="inlineStr">
        <is>
          <t>Monitoring</t>
        </is>
      </c>
      <c r="B19" s="36" t="inlineStr">
        <is>
          <t>Runs, alerts, diagnostics and operations</t>
        </is>
      </c>
      <c r="C19" s="36" t="inlineStr">
        <is>
          <t>Use for production operating model.</t>
        </is>
      </c>
      <c r="D19" s="36" t="inlineStr">
        <is>
          <t>Medium</t>
        </is>
      </c>
      <c r="E19" s="36" t="inlineStr">
        <is>
          <t>https://learn.microsoft.com/en-us/azure/data-factory/monitor-data-factory</t>
        </is>
      </c>
      <c r="F19" s="36" t="inlineStr">
        <is>
          <t>Ch 13</t>
        </is>
      </c>
    </row>
    <row r="20" ht="42" customHeight="1" s="88">
      <c r="A20" s="36" t="inlineStr">
        <is>
          <t>CI/CD improvements</t>
        </is>
      </c>
      <c r="B20" s="36" t="inlineStr">
        <is>
          <t>ARM template generation, automated publishing and release patterns</t>
        </is>
      </c>
      <c r="C20" s="36" t="inlineStr">
        <is>
          <t>Use for modern Dev→Test→Prod design.</t>
        </is>
      </c>
      <c r="D20" s="36" t="inlineStr">
        <is>
          <t>High</t>
        </is>
      </c>
      <c r="E20" s="36" t="inlineStr">
        <is>
          <t>https://learn.microsoft.com/en-us/azure/data-factory/continuous-integration-delivery-improvements</t>
        </is>
      </c>
      <c r="F20" s="36" t="inlineStr">
        <is>
          <t>Ch 19</t>
        </is>
      </c>
    </row>
    <row r="21" ht="42" customHeight="1" s="88">
      <c r="A21" s="36" t="inlineStr">
        <is>
          <t>Bicep quickstart</t>
        </is>
      </c>
      <c r="B21" s="36" t="inlineStr">
        <is>
          <t>IaC for Data Factory resources</t>
        </is>
      </c>
      <c r="C21" s="36" t="inlineStr">
        <is>
          <t>Use as infrastructure-provisioning reference.</t>
        </is>
      </c>
      <c r="D21" s="36" t="inlineStr">
        <is>
          <t>Medium</t>
        </is>
      </c>
      <c r="E21" s="36" t="inlineStr">
        <is>
          <t>https://learn.microsoft.com/en-us/azure/data-factory/quickstart-create-data-factory-bicep</t>
        </is>
      </c>
      <c r="F21" s="36" t="inlineStr">
        <is>
          <t>Ch 15, Ch 19</t>
        </is>
      </c>
    </row>
    <row r="22" ht="42" customHeight="1" s="88">
      <c r="A22" s="36" t="inlineStr">
        <is>
          <t>Reliability</t>
        </is>
      </c>
      <c r="B22" s="36" t="inlineStr">
        <is>
          <t>Retry, idempotency, zone/region considerations</t>
        </is>
      </c>
      <c r="C22" s="36" t="inlineStr">
        <is>
          <t>Use for incident/recovery architecture.</t>
        </is>
      </c>
      <c r="D22" s="36" t="inlineStr">
        <is>
          <t>High</t>
        </is>
      </c>
      <c r="E22" s="36" t="inlineStr">
        <is>
          <t>https://learn.microsoft.com/en-us/azure/reliability/reliability-data-factory</t>
        </is>
      </c>
      <c r="F22" s="36" t="inlineStr">
        <is>
          <t>Ch 14</t>
        </is>
      </c>
    </row>
    <row r="23" ht="42" customHeight="1" s="88">
      <c r="A23" s="36" t="inlineStr">
        <is>
          <t>Databricks Notebook activity</t>
        </is>
      </c>
      <c r="B23" s="36" t="inlineStr">
        <is>
          <t>ADF→Databricks orchestration</t>
        </is>
      </c>
      <c r="C23" s="36" t="inlineStr">
        <is>
          <t>Use for Azure Databricks integration design.</t>
        </is>
      </c>
      <c r="D23" s="36" t="inlineStr">
        <is>
          <t>Medium</t>
        </is>
      </c>
      <c r="E23" s="36" t="inlineStr">
        <is>
          <t>https://learn.microsoft.com/en-us/azure/data-factory/transform-data-databricks-notebook</t>
        </is>
      </c>
      <c r="F23" s="36" t="inlineStr">
        <is>
          <t>Ch 4</t>
        </is>
      </c>
    </row>
    <row r="24" ht="42" customHeight="1" s="88">
      <c r="A24" s="36" t="inlineStr">
        <is>
          <t>ADF vs Fabric Data Factory</t>
        </is>
      </c>
      <c r="B24" s="36" t="inlineStr">
        <is>
          <t>Current platform direction and comparison</t>
        </is>
      </c>
      <c r="C24" s="36" t="inlineStr">
        <is>
          <t>Use before any ADF-vs-Fabric interview discussion.</t>
        </is>
      </c>
      <c r="D24" s="36" t="inlineStr">
        <is>
          <t>High</t>
        </is>
      </c>
      <c r="E24" s="36" t="inlineStr">
        <is>
          <t>https://learn.microsoft.com/en-us/fabric/data-factory/compare-fabric-data-factory-and-azure-data-factory</t>
        </is>
      </c>
      <c r="F24" s="36" t="inlineStr">
        <is>
          <t>Ch 21, Ch 22</t>
        </is>
      </c>
    </row>
  </sheetData>
  <mergeCells count="2">
    <mergeCell ref="A2:E2"/>
    <mergeCell ref="A1:E1"/>
  </mergeCells>
  <conditionalFormatting sqref="D5:D24">
    <cfRule type="expression" priority="1" dxfId="1">
      <formula>D5="High"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4" customWidth="1" style="88" min="1" max="1"/>
    <col width="52" customWidth="1" style="88" min="2" max="2"/>
    <col width="56" customWidth="1" style="88" min="3" max="3"/>
  </cols>
  <sheetData>
    <row r="1" ht="22" customHeight="1" s="88">
      <c r="A1" s="9" t="inlineStr">
        <is>
          <t>ADF Interview Mental Model</t>
        </is>
      </c>
      <c r="B1" s="1" t="n"/>
      <c r="C1" s="1" t="n"/>
    </row>
    <row r="2" ht="22" customHeight="1" s="88"/>
    <row r="3" ht="22" customHeight="1" s="88">
      <c r="A3" s="29" t="inlineStr">
        <is>
          <t>Concept</t>
        </is>
      </c>
      <c r="B3" s="29" t="inlineStr">
        <is>
          <t>Mental Model</t>
        </is>
      </c>
      <c r="C3" s="29" t="inlineStr">
        <is>
          <t>Interview Question to Ask Yourself</t>
        </is>
      </c>
    </row>
    <row r="4" ht="40" customHeight="1" s="88">
      <c r="A4" s="36" t="inlineStr">
        <is>
          <t>ADF</t>
        </is>
      </c>
      <c r="B4" s="36" t="inlineStr">
        <is>
          <t>An orchestrator that also copies data: it decides what happens and when, moves data itself, and hands heavy computation to specialised engines.</t>
        </is>
      </c>
      <c r="C4" s="36" t="inlineStr">
        <is>
          <t>What is ADF orchestrating, and what service is doing the heavy work?</t>
        </is>
      </c>
    </row>
    <row r="5" ht="40" customHeight="1" s="88">
      <c r="A5" s="36" t="inlineStr">
        <is>
          <t>Pipeline</t>
        </is>
      </c>
      <c r="B5" s="36" t="inlineStr">
        <is>
          <t>Reusable workflow definition.</t>
        </is>
      </c>
      <c r="C5" s="36" t="inlineStr">
        <is>
          <t>What is the business job this pipeline owns?</t>
        </is>
      </c>
    </row>
    <row r="6" ht="40" customHeight="1" s="88">
      <c r="A6" s="36" t="inlineStr">
        <is>
          <t>Activity</t>
        </is>
      </c>
      <c r="B6" s="36" t="inlineStr">
        <is>
          <t>One executable/control step.</t>
        </is>
      </c>
      <c r="C6" s="36" t="inlineStr">
        <is>
          <t>What exactly executes here and where?</t>
        </is>
      </c>
    </row>
    <row r="7" ht="40" customHeight="1" s="88">
      <c r="A7" s="36" t="inlineStr">
        <is>
          <t>Linked service</t>
        </is>
      </c>
      <c r="B7" s="36" t="inlineStr">
        <is>
          <t>How ADF connects/authenticates.</t>
        </is>
      </c>
      <c r="C7" s="36" t="inlineStr">
        <is>
          <t>Who owns the credential and network path?</t>
        </is>
      </c>
    </row>
    <row r="8" ht="40" customHeight="1" s="88">
      <c r="A8" s="36" t="inlineStr">
        <is>
          <t>Dataset</t>
        </is>
      </c>
      <c r="B8" s="36" t="inlineStr">
        <is>
          <t>What data shape/location the activity works with.</t>
        </is>
      </c>
      <c r="C8" s="36" t="inlineStr">
        <is>
          <t>Can this be parameterised or should it be dynamic?</t>
        </is>
      </c>
    </row>
    <row r="9" ht="40" customHeight="1" s="88">
      <c r="A9" s="36" t="inlineStr">
        <is>
          <t>Integration Runtime</t>
        </is>
      </c>
      <c r="B9" s="36" t="inlineStr">
        <is>
          <t>Where the movement/data-flow execution happens and what network it can reach.</t>
        </is>
      </c>
      <c r="C9" s="36" t="inlineStr">
        <is>
          <t>Why this IR, and who operates it?</t>
        </is>
      </c>
    </row>
    <row r="10" ht="40" customHeight="1" s="88">
      <c r="A10" s="36" t="inlineStr">
        <is>
          <t>Trigger</t>
        </is>
      </c>
      <c r="B10" s="36" t="inlineStr">
        <is>
          <t>The condition that starts the pipeline.</t>
        </is>
      </c>
      <c r="C10" s="36" t="inlineStr">
        <is>
          <t>Is time, data arrival, or another event the real trigger?</t>
        </is>
      </c>
    </row>
    <row r="11" ht="40" customHeight="1" s="88">
      <c r="A11" s="36" t="inlineStr">
        <is>
          <t>Schedule vs Tumbling Window</t>
        </is>
      </c>
      <c r="B11" s="36" t="inlineStr">
        <is>
          <t>Clock-based schedule vs stateful time-window processing.</t>
        </is>
      </c>
      <c r="C11" s="36" t="inlineStr">
        <is>
          <t>Do I need backfill and window state?</t>
        </is>
      </c>
    </row>
    <row r="12" ht="40" customHeight="1" s="88">
      <c r="A12" s="36" t="inlineStr">
        <is>
          <t>Parameter</t>
        </is>
      </c>
      <c r="B12" s="36" t="inlineStr">
        <is>
          <t>Read-only input for a run.</t>
        </is>
      </c>
      <c r="C12" s="36" t="inlineStr">
        <is>
          <t>Should this vary by invocation/environment?</t>
        </is>
      </c>
    </row>
    <row r="13" ht="40" customHeight="1" s="88">
      <c r="A13" s="36" t="inlineStr">
        <is>
          <t>Variable</t>
        </is>
      </c>
      <c r="B13" s="36" t="inlineStr">
        <is>
          <t>Mutable scratch state within pipeline execution.</t>
        </is>
      </c>
      <c r="C13" s="36" t="inlineStr">
        <is>
          <t>Could parallelism make this unsafe?</t>
        </is>
      </c>
    </row>
    <row r="14" ht="40" customHeight="1" s="88">
      <c r="A14" s="36" t="inlineStr">
        <is>
          <t>Watermark</t>
        </is>
      </c>
      <c r="B14" s="36" t="inlineStr">
        <is>
          <t>High-water mark for new/changed records.</t>
        </is>
      </c>
      <c r="C14" s="36" t="inlineStr">
        <is>
          <t>Can the source expose all changes I need, including deletes?</t>
        </is>
      </c>
    </row>
    <row r="15" ht="40" customHeight="1" s="88">
      <c r="A15" s="36" t="inlineStr">
        <is>
          <t>CDC</t>
        </is>
      </c>
      <c r="B15" s="36" t="inlineStr">
        <is>
          <t>Change-log driven incremental processing.</t>
        </is>
      </c>
      <c r="C15" s="36" t="inlineStr">
        <is>
          <t>What source capability guarantees completeness?</t>
        </is>
      </c>
    </row>
    <row r="16" ht="40" customHeight="1" s="88">
      <c r="A16" s="36" t="inlineStr">
        <is>
          <t>Metadata-driven</t>
        </is>
      </c>
      <c r="B16" s="36" t="inlineStr">
        <is>
          <t>One reusable pipeline driven by control metadata.</t>
        </is>
      </c>
      <c r="C16" s="36" t="inlineStr">
        <is>
          <t>Am I standardising a pattern or creating a framework nobody owns?</t>
        </is>
      </c>
    </row>
    <row r="17" ht="40" customHeight="1" s="88">
      <c r="A17" s="36" t="inlineStr">
        <is>
          <t>Idempotency</t>
        </is>
      </c>
      <c r="B17" s="36" t="inlineStr">
        <is>
          <t>Repeat execution has the same business effect as one execution.</t>
        </is>
      </c>
      <c r="C17" s="36" t="inlineStr">
        <is>
          <t>Can I safely rerun this after failure?</t>
        </is>
      </c>
    </row>
    <row r="18" ht="40" customHeight="1" s="88">
      <c r="A18" s="36" t="inlineStr">
        <is>
          <t>Reconciliation</t>
        </is>
      </c>
      <c r="B18" s="36" t="inlineStr">
        <is>
          <t>Evidence that data is complete and correct beyond run status.</t>
        </is>
      </c>
      <c r="C18" s="36" t="inlineStr">
        <is>
          <t>What proves the business data is right?</t>
        </is>
      </c>
    </row>
    <row r="19" ht="40" customHeight="1" s="88">
      <c r="A19" s="36" t="inlineStr">
        <is>
          <t>Managed VNet</t>
        </is>
      </c>
      <c r="B19" s="36" t="inlineStr">
        <is>
          <t>Managed network isolation around Azure IR.</t>
        </is>
      </c>
      <c r="C19" s="36" t="inlineStr">
        <is>
          <t>What is private, what remains public, and what approvals are required?</t>
        </is>
      </c>
    </row>
    <row r="20" ht="40" customHeight="1" s="88">
      <c r="A20" s="36" t="inlineStr">
        <is>
          <t>Key Vault / Managed Identity</t>
        </is>
      </c>
      <c r="B20" s="36" t="inlineStr">
        <is>
          <t>Keep secrets out of code and use workload identity where supported.</t>
        </is>
      </c>
      <c r="C20" s="36" t="inlineStr">
        <is>
          <t>Where is the credential, and what happens on rotation?</t>
        </is>
      </c>
    </row>
    <row r="21" ht="40" customHeight="1" s="88">
      <c r="A21" s="36" t="inlineStr">
        <is>
          <t>CI/CD</t>
        </is>
      </c>
      <c r="B21" s="36" t="inlineStr">
        <is>
          <t>Repeatable, auditable promotion of factory definitions and infrastructure.</t>
        </is>
      </c>
      <c r="C21" s="36" t="inlineStr">
        <is>
          <t>Which parts are Microsoft behavior and which are our deployment policy?</t>
        </is>
      </c>
    </row>
    <row r="22" ht="40" customHeight="1" s="88">
      <c r="A22" s="36" t="inlineStr">
        <is>
          <t>Monitoring</t>
        </is>
      </c>
      <c r="B22" s="36" t="inlineStr">
        <is>
          <t>Operational evidence, not just green/red.</t>
        </is>
      </c>
      <c r="C22" s="36" t="inlineStr">
        <is>
          <t>What would tell me the data is wrong even when the run is green?</t>
        </is>
      </c>
    </row>
    <row r="23" ht="40" customHeight="1" s="88">
      <c r="A23" s="36" t="inlineStr">
        <is>
          <t>Cost</t>
        </is>
      </c>
      <c r="B23" s="36" t="inlineStr">
        <is>
          <t>Every architecture choice has a cost driver.</t>
        </is>
      </c>
      <c r="C23" s="36" t="inlineStr">
        <is>
          <t>Which meter rises when I scale this design?</t>
        </is>
      </c>
    </row>
    <row r="24" ht="40" customHeight="1" s="88">
      <c r="A24" s="36" t="inlineStr">
        <is>
          <t>ADF vs Databricks</t>
        </is>
      </c>
      <c r="B24" s="36" t="inlineStr">
        <is>
          <t>Orchestration/integration vs code-heavy Spark processing.</t>
        </is>
      </c>
      <c r="C24" s="36" t="inlineStr">
        <is>
          <t>Why not do all of this in Databricks?</t>
        </is>
      </c>
    </row>
    <row r="25" ht="40" customHeight="1" s="88">
      <c r="A25" s="36" t="inlineStr">
        <is>
          <t>ADF vs Fabric Data Factory</t>
        </is>
      </c>
      <c r="B25" s="36" t="inlineStr">
        <is>
          <t>Azure PaaS estate vs Fabric-centric platform strategy.</t>
        </is>
      </c>
      <c r="C25" s="36" t="inlineStr">
        <is>
          <t>What does the target estate need today, not just what is newest?</t>
        </is>
      </c>
    </row>
    <row r="26" ht="40" customHeight="1" s="88">
      <c r="A26" s="36" t="inlineStr">
        <is>
          <t>Manager lens</t>
        </is>
      </c>
      <c r="B26" s="36" t="inlineStr">
        <is>
          <t>User impact, SLA, risk, ownership, recovery, cost and change governance.</t>
        </is>
      </c>
      <c r="C26" s="36" t="inlineStr">
        <is>
          <t>What would I ask the engineering team before approving this design?</t>
        </is>
      </c>
    </row>
    <row r="27">
      <c r="A27" s="36" t="inlineStr">
        <is>
          <t>The four questions</t>
        </is>
      </c>
      <c r="B27" s="36" t="inlineStr">
        <is>
          <t>Every pipeline answers four questions in order: connect and collect, transform, reach production, monitor and recover.</t>
        </is>
      </c>
      <c r="C27" s="36" t="inlineStr">
        <is>
          <t>Which of the four am I answering, and where does it fail quietly?</t>
        </is>
      </c>
    </row>
    <row r="28">
      <c r="A28" s="36" t="inlineStr">
        <is>
          <t>Quiet failure</t>
        </is>
      </c>
      <c r="B28" s="36" t="inlineStr">
        <is>
          <t>A green run with data that is wrong, late or exposed.</t>
        </is>
      </c>
      <c r="C28" s="36" t="inlineStr">
        <is>
          <t>What would tell me the data is wrong even when the run is green?</t>
        </is>
      </c>
    </row>
    <row r="29">
      <c r="A29" s="36" t="inlineStr">
        <is>
          <t>Self-hosted IR</t>
        </is>
      </c>
      <c r="B29" s="36" t="inlineStr">
        <is>
          <t>A server you own inside the private network, making outbound-only connections.</t>
        </is>
      </c>
      <c r="C29" s="36" t="inlineStr">
        <is>
          <t>Who patches it, who watches it, and how many nodes does it have?</t>
        </is>
      </c>
    </row>
    <row r="30">
      <c r="A30" s="36" t="inlineStr">
        <is>
          <t>Retail sales load</t>
        </is>
      </c>
      <c r="B30" s="36" t="inlineStr">
        <is>
          <t>The guide's running example: nightly sales and returns into a lake and a reporting database.</t>
        </is>
      </c>
      <c r="C30" s="36" t="inlineStr">
        <is>
          <t>Where does each step of the retail load run, and why?</t>
        </is>
      </c>
    </row>
  </sheetData>
  <mergeCells count="1">
    <mergeCell ref="A1:C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10" customWidth="1" style="88" min="1" max="1"/>
    <col width="34" customWidth="1" style="88" min="2" max="2"/>
    <col width="60" customWidth="1" style="88" min="3" max="3"/>
    <col width="14" customWidth="1" style="88" min="4" max="4"/>
    <col width="90" customWidth="1" style="88" min="5" max="5"/>
    <col width="22" customWidth="1" style="88" min="7" max="7"/>
    <col width="55" customWidth="1" style="88" min="8" max="8"/>
  </cols>
  <sheetData>
    <row r="1">
      <c r="A1" s="93" t="inlineStr">
        <is>
          <t>Roadmap #</t>
        </is>
      </c>
      <c r="B1" s="93" t="inlineStr">
        <is>
          <t>Roadmap Topic</t>
        </is>
      </c>
      <c r="C1" s="93" t="inlineStr">
        <is>
          <t>Primary Study Guide Mapping</t>
        </is>
      </c>
      <c r="D1" s="93" t="inlineStr">
        <is>
          <t>Coverage</t>
        </is>
      </c>
      <c r="E1" s="93" t="inlineStr">
        <is>
          <t>What the Study Guide Currently Provides</t>
        </is>
      </c>
      <c r="G1" s="95" t="inlineStr">
        <is>
          <t>Coverage Summary</t>
        </is>
      </c>
      <c r="H1" s="95" t="inlineStr">
        <is>
          <t>Count</t>
        </is>
      </c>
    </row>
    <row r="2">
      <c r="A2" s="34" t="n">
        <v>1</v>
      </c>
      <c r="B2" s="34" t="inlineStr">
        <is>
          <t>What Azure Data Factory Is</t>
        </is>
      </c>
      <c r="C2" s="34" t="inlineStr">
        <is>
          <t>Ch 1 — Introduction to Azure Data Factory</t>
        </is>
      </c>
      <c r="D2" s="34" t="inlineStr">
        <is>
          <t>Full</t>
        </is>
      </c>
      <c r="E2" s="34" t="inlineStr">
        <is>
          <t>Ch 1: The problem; The one-sentence mental model; The retail sales load; What ADF is not; The four questions; The six building blocks; Usage scenarios</t>
        </is>
      </c>
      <c r="G2" s="34" t="inlineStr">
        <is>
          <t>Full</t>
        </is>
      </c>
      <c r="H2" s="34">
        <f>COUNTIF(D2:D62,"Full")</f>
        <v/>
      </c>
    </row>
    <row r="3">
      <c r="A3" s="34" t="n">
        <v>2</v>
      </c>
      <c r="B3" s="34" t="inlineStr">
        <is>
          <t>ADF vs Databricks vs Synapse vs Fabric Data Factory</t>
        </is>
      </c>
      <c r="C3" s="34" t="inlineStr">
        <is>
          <t>Ch 21 — Choosing the right service: ADF, Databricks, Synapse and Fabric</t>
        </is>
      </c>
      <c r="D3" s="34" t="inlineStr">
        <is>
          <t>Full</t>
        </is>
      </c>
      <c r="E3" s="34" t="inlineStr">
        <is>
          <t>Ch 21: The four services side by side; Combining services, and a decision guide; Four scenarios, answered</t>
        </is>
      </c>
      <c r="G3" s="34" t="inlineStr">
        <is>
          <t>Partial</t>
        </is>
      </c>
      <c r="H3" s="34">
        <f>COUNTIF(D2:D62,"Partial")</f>
        <v/>
      </c>
    </row>
    <row r="4">
      <c r="A4" s="34" t="n">
        <v>3</v>
      </c>
      <c r="B4" s="34" t="inlineStr">
        <is>
          <t>ADF Resource Model</t>
        </is>
      </c>
      <c r="C4" s="34" t="inlineStr">
        <is>
          <t>Ch 3 — The building blocks</t>
        </is>
      </c>
      <c r="D4" s="34" t="inlineStr">
        <is>
          <t>Full</t>
        </is>
      </c>
      <c r="E4" s="34" t="inlineStr">
        <is>
          <t>Ch 3: The resource model; The six entity types and what each one is for; How they connect: the copy example; Parameters: which kind to use</t>
        </is>
      </c>
      <c r="G4" s="34" t="inlineStr">
        <is>
          <t>Total Topics</t>
        </is>
      </c>
      <c r="H4" s="34">
        <f>COUNTA(A2:A62)</f>
        <v/>
      </c>
    </row>
    <row r="5">
      <c r="A5" s="34" t="n">
        <v>4</v>
      </c>
      <c r="B5" s="34" t="inlineStr">
        <is>
          <t>ADF Mental Model for Managers</t>
        </is>
      </c>
      <c r="C5" s="34" t="inlineStr">
        <is>
          <t>Ch 1 — Introduction to Azure Data Factory; Ch 23 — Pitfalls: every trap in one place</t>
        </is>
      </c>
      <c r="D5" s="34" t="inlineStr">
        <is>
          <t>Full</t>
        </is>
      </c>
      <c r="E5" s="34" t="inlineStr">
        <is>
          <t>Ch 1: The one-sentence mental model; Cost: what you pay for; A manager's mental model | Ch 23: A manager's one-page view</t>
        </is>
      </c>
      <c r="G5" s="34" t="inlineStr">
        <is>
          <t>Full Coverage %</t>
        </is>
      </c>
      <c r="H5" s="101">
        <f>H2/H4</f>
        <v/>
      </c>
    </row>
    <row r="6">
      <c r="A6" s="34" t="n">
        <v>5</v>
      </c>
      <c r="B6" s="34" t="inlineStr">
        <is>
          <t>Linked Services</t>
        </is>
      </c>
      <c r="C6" s="34" t="inlineStr">
        <is>
          <t>Ch 3 — The building blocks</t>
        </is>
      </c>
      <c r="D6" s="34" t="inlineStr">
        <is>
          <t>Full</t>
        </is>
      </c>
      <c r="E6" s="34" t="inlineStr">
        <is>
          <t>Ch 3: Linked services; Parameterised linked services; What Microsoft Doesn't Say: a secret in a linked service skips the Git workflow</t>
        </is>
      </c>
      <c r="G6" s="34" t="inlineStr">
        <is>
          <t>Mapping Purpose</t>
        </is>
      </c>
      <c r="H6" s="34" t="inlineStr">
        <is>
          <t>Bridge the roadmap's 61 topics to the actual Study Guide chapters, as listed in each chapter's own alignment block.</t>
        </is>
      </c>
    </row>
    <row r="7">
      <c r="A7" s="34" t="n">
        <v>6</v>
      </c>
      <c r="B7" s="34" t="inlineStr">
        <is>
          <t>Datasets and Parameterisation</t>
        </is>
      </c>
      <c r="C7" s="34" t="inlineStr">
        <is>
          <t>Ch 3 — The building blocks</t>
        </is>
      </c>
      <c r="D7" s="34" t="inlineStr">
        <is>
          <t>Full</t>
        </is>
      </c>
      <c r="E7" s="34" t="inlineStr">
        <is>
          <t>Ch 3: Datasets; The parameterised dataset pattern; Parameters: which kind to use</t>
        </is>
      </c>
    </row>
    <row r="8">
      <c r="A8" s="34" t="n">
        <v>7</v>
      </c>
      <c r="B8" s="34" t="inlineStr">
        <is>
          <t>Pipeline Parameters, Variables and Expressions</t>
        </is>
      </c>
      <c r="C8" s="34" t="inlineStr">
        <is>
          <t>Ch 4 — Pipelines, activities and control flow</t>
        </is>
      </c>
      <c r="D8" s="34" t="inlineStr">
        <is>
          <t>Full</t>
        </is>
      </c>
      <c r="E8" s="34" t="inlineStr">
        <is>
          <t>Ch 4: Parameters, variables and expressions</t>
        </is>
      </c>
      <c r="G8" s="97" t="inlineStr">
        <is>
          <t>Earlier gaps, now closed</t>
        </is>
      </c>
      <c r="H8" s="97" t="str"/>
    </row>
    <row r="9">
      <c r="A9" s="34" t="n">
        <v>8</v>
      </c>
      <c r="B9" s="34" t="inlineStr">
        <is>
          <t>Global Parameters and Reusable Configuration</t>
        </is>
      </c>
      <c r="C9" s="34" t="inlineStr">
        <is>
          <t>Ch 3 — The building blocks</t>
        </is>
      </c>
      <c r="D9" s="34" t="inlineStr">
        <is>
          <t>Full</t>
        </is>
      </c>
      <c r="E9" s="34" t="inlineStr">
        <is>
          <t>Ch 3: Global parameters and reusable configuration; Dev, Test and Prod: what changes and what must not</t>
        </is>
      </c>
      <c r="G9" s="34" t="inlineStr">
        <is>
          <t>Topic 15</t>
        </is>
      </c>
      <c r="H9" s="34" t="inlineStr">
        <is>
          <t>Web, Function, Script and Stored Procedure decision table: Ch 4, "Choosing between the four".</t>
        </is>
      </c>
    </row>
    <row r="10">
      <c r="A10" s="34" t="n">
        <v>9</v>
      </c>
      <c r="B10" s="34" t="inlineStr">
        <is>
          <t>Activity Types and Execution Semantics</t>
        </is>
      </c>
      <c r="C10" s="34" t="inlineStr">
        <is>
          <t>Ch 4 — Pipelines, activities and control flow</t>
        </is>
      </c>
      <c r="D10" s="34" t="inlineStr">
        <is>
          <t>Full</t>
        </is>
      </c>
      <c r="E10" s="34" t="inlineStr">
        <is>
          <t>Ch 4: Activity types and where they run; Activity policy: timeout, retry and secure output</t>
        </is>
      </c>
      <c r="G10" s="34" t="inlineStr">
        <is>
          <t>Topic 35</t>
        </is>
      </c>
      <c r="H10" s="34" t="inlineStr">
        <is>
          <t>Metadata-driven design: Ch 10 (control table), Ch 4 (the 1,000-table loop) and Ch 20 (the control table is the plan).</t>
        </is>
      </c>
    </row>
    <row r="11">
      <c r="A11" s="34" t="n">
        <v>10</v>
      </c>
      <c r="B11" s="34" t="inlineStr">
        <is>
          <t>Dependencies: Success, Failure, Completion and Skip</t>
        </is>
      </c>
      <c r="C11" s="34" t="inlineStr">
        <is>
          <t>Ch 4 — Pipelines, activities and control flow; Ch 13 — Monitoring, failures and reruns</t>
        </is>
      </c>
      <c r="D11" s="34" t="inlineStr">
        <is>
          <t>Full</t>
        </is>
      </c>
      <c r="E11" s="34" t="inlineStr">
        <is>
          <t>Ch 4: Dependencies and error handling | Ch 13: How a pipeline's status is decided</t>
        </is>
      </c>
      <c r="G11" s="34" t="inlineStr">
        <is>
          <t>Topics 48 / 56</t>
        </is>
      </c>
      <c r="H11" s="34" t="inlineStr">
        <is>
          <t>Bicep layers: Ch 15 and Ch 19. Synapse integration: Ch 4, "ADF and Azure Synapse Analytics".</t>
        </is>
      </c>
    </row>
    <row r="12">
      <c r="A12" s="34" t="n">
        <v>11</v>
      </c>
      <c r="B12" s="34" t="inlineStr">
        <is>
          <t>Lookup and Get Metadata</t>
        </is>
      </c>
      <c r="C12" s="34" t="inlineStr">
        <is>
          <t>Ch 4 — Pipelines, activities and control flow</t>
        </is>
      </c>
      <c r="D12" s="34" t="inlineStr">
        <is>
          <t>Full</t>
        </is>
      </c>
      <c r="E12" s="34" t="inlineStr">
        <is>
          <t>Ch 4: Lookup and Get Metadata</t>
        </is>
      </c>
      <c r="G12" s="34" t="inlineStr">
        <is>
          <t>Topics 53 / 54 / 58 / 60</t>
        </is>
      </c>
      <c r="H12" s="34" t="inlineStr">
        <is>
          <t>Concurrency budget: Ch 18. Service selection: Ch 21. Migration case: Ch 20. Architecture review capstone: Ch 23.</t>
        </is>
      </c>
    </row>
    <row r="13">
      <c r="A13" s="34" t="n">
        <v>12</v>
      </c>
      <c r="B13" s="34" t="inlineStr">
        <is>
          <t>ForEach, Batch Count and Parallelism</t>
        </is>
      </c>
      <c r="C13" s="34" t="inlineStr">
        <is>
          <t>Ch 4 — Pipelines, activities and control flow</t>
        </is>
      </c>
      <c r="D13" s="34" t="inlineStr">
        <is>
          <t>Full</t>
        </is>
      </c>
      <c r="E13" s="34" t="inlineStr">
        <is>
          <t>Ch 4: ForEach: the settings and limits that matter</t>
        </is>
      </c>
      <c r="G13" s="34" t="inlineStr">
        <is>
          <t>Topic 61</t>
        </is>
      </c>
      <c r="H13" s="34" t="inlineStr">
        <is>
          <t>New topic for the new Chapter 2, How ADF works.</t>
        </is>
      </c>
    </row>
    <row r="14">
      <c r="A14" s="34" t="n">
        <v>13</v>
      </c>
      <c r="B14" s="34" t="inlineStr">
        <is>
          <t>If Condition, Switch, Until and Wait</t>
        </is>
      </c>
      <c r="C14" s="34" t="inlineStr">
        <is>
          <t>Ch 4 — Pipelines, activities and control flow</t>
        </is>
      </c>
      <c r="D14" s="34" t="inlineStr">
        <is>
          <t>Full</t>
        </is>
      </c>
      <c r="E14" s="34" t="inlineStr">
        <is>
          <t>Ch 4: If Condition, Switch, Until and Wait</t>
        </is>
      </c>
    </row>
    <row r="15">
      <c r="A15" s="34" t="n">
        <v>14</v>
      </c>
      <c r="B15" s="34" t="inlineStr">
        <is>
          <t>Execute Pipeline and Reusable Child Pipelines</t>
        </is>
      </c>
      <c r="C15" s="34" t="inlineStr">
        <is>
          <t>Ch 4 — Pipelines, activities and control flow</t>
        </is>
      </c>
      <c r="D15" s="34" t="inlineStr">
        <is>
          <t>Full</t>
        </is>
      </c>
      <c r="E15" s="34" t="inlineStr">
        <is>
          <t>Ch 4: Execute Pipeline and child pipelines</t>
        </is>
      </c>
    </row>
    <row r="16">
      <c r="A16" s="34" t="n">
        <v>15</v>
      </c>
      <c r="B16" s="34" t="inlineStr">
        <is>
          <t>Web, Function, Script and Stored Procedure Integration</t>
        </is>
      </c>
      <c r="C16" s="34" t="inlineStr">
        <is>
          <t>Ch 4 — Pipelines, activities and control flow</t>
        </is>
      </c>
      <c r="D16" s="34" t="inlineStr">
        <is>
          <t>Full</t>
        </is>
      </c>
      <c r="E16" s="34" t="inlineStr">
        <is>
          <t>Ch 4: Web, Azure Function, Script and Stored Procedure</t>
        </is>
      </c>
    </row>
    <row r="17">
      <c r="A17" s="34" t="n">
        <v>16</v>
      </c>
      <c r="B17" s="34" t="inlineStr">
        <is>
          <t>Schedule Triggers</t>
        </is>
      </c>
      <c r="C17" s="34" t="inlineStr">
        <is>
          <t>Ch 6 — Triggers: when pipelines run</t>
        </is>
      </c>
      <c r="D17" s="34" t="inlineStr">
        <is>
          <t>Full</t>
        </is>
      </c>
      <c r="E17" s="34" t="inlineStr">
        <is>
          <t>Ch 6: Pipeline runs and triggers; The schedule trigger; Time zones, daylight saving and UTC</t>
        </is>
      </c>
    </row>
    <row r="18">
      <c r="A18" s="34" t="n">
        <v>17</v>
      </c>
      <c r="B18" s="34" t="inlineStr">
        <is>
          <t>Tumbling Window Triggers</t>
        </is>
      </c>
      <c r="C18" s="34" t="inlineStr">
        <is>
          <t>Ch 6 — Triggers: when pipelines run</t>
        </is>
      </c>
      <c r="D18" s="34" t="inlineStr">
        <is>
          <t>Full</t>
        </is>
      </c>
      <c r="E18" s="34" t="inlineStr">
        <is>
          <t>Ch 6: The tumbling window trigger; Windows, backfill and dependencies; Schedule or tumbling window?</t>
        </is>
      </c>
    </row>
    <row r="19">
      <c r="A19" s="34" t="n">
        <v>18</v>
      </c>
      <c r="B19" s="34" t="inlineStr">
        <is>
          <t>Event and Custom Event Triggers</t>
        </is>
      </c>
      <c r="C19" s="34" t="inlineStr">
        <is>
          <t>Ch 6 — Triggers: when pipelines run</t>
        </is>
      </c>
      <c r="D19" s="34" t="inlineStr">
        <is>
          <t>Full</t>
        </is>
      </c>
      <c r="E19" s="34" t="inlineStr">
        <is>
          <t>Ch 6: Event triggers: storage and custom events; What Microsoft Doesn't Say: an event trigger can be wrong in ways the pipeline list never shows</t>
        </is>
      </c>
    </row>
    <row r="20">
      <c r="A20" s="34" t="n">
        <v>19</v>
      </c>
      <c r="B20" s="34" t="inlineStr">
        <is>
          <t>Time Zones and Window Semantics</t>
        </is>
      </c>
      <c r="C20" s="34" t="inlineStr">
        <is>
          <t>Ch 6 — Triggers: when pipelines run</t>
        </is>
      </c>
      <c r="D20" s="34" t="inlineStr">
        <is>
          <t>Full</t>
        </is>
      </c>
      <c r="E20" s="34" t="inlineStr">
        <is>
          <t>Ch 6: Time zones, daylight saving and UTC; The tumbling window trigger</t>
        </is>
      </c>
    </row>
    <row r="21">
      <c r="A21" s="34" t="n">
        <v>20</v>
      </c>
      <c r="B21" s="34" t="inlineStr">
        <is>
          <t>Integration Runtime Fundamentals</t>
        </is>
      </c>
      <c r="C21" s="34" t="inlineStr">
        <is>
          <t>Ch 5 — Integration runtimes: where the work runs</t>
        </is>
      </c>
      <c r="D21" s="34" t="inlineStr">
        <is>
          <t>Full</t>
        </is>
      </c>
      <c r="E21" s="34" t="inlineStr">
        <is>
          <t>Ch 5: What an integration runtime is; The three types at a glance; Which integration runtime is used; Integration runtimes in CI/CD</t>
        </is>
      </c>
    </row>
    <row r="22">
      <c r="A22" s="34" t="n">
        <v>21</v>
      </c>
      <c r="B22" s="34" t="inlineStr">
        <is>
          <t>Self-hosted IR Architecture and Operations</t>
        </is>
      </c>
      <c r="C22" s="34" t="inlineStr">
        <is>
          <t>Ch 5 — Integration runtimes: where the work runs</t>
        </is>
      </c>
      <c r="D22" s="34" t="inlineStr">
        <is>
          <t>Full</t>
        </is>
      </c>
      <c r="E22" s="34" t="inlineStr">
        <is>
          <t>Ch 5: The self-hosted integration runtime; Running a self-hosted runtime: the handover checklist</t>
        </is>
      </c>
    </row>
    <row r="23">
      <c r="A23" s="34" t="n">
        <v>22</v>
      </c>
      <c r="B23" s="34" t="inlineStr">
        <is>
          <t>Managed VNet and Managed Private Endpoints</t>
        </is>
      </c>
      <c r="C23" s="34" t="inlineStr">
        <is>
          <t>Ch 5 — Integration runtimes: where the work runs; Ch 15 — Security and networking</t>
        </is>
      </c>
      <c r="D23" s="34" t="inlineStr">
        <is>
          <t>Full</t>
        </is>
      </c>
      <c r="E23" s="34" t="inlineStr">
        <is>
          <t>Ch 5: The Azure integration runtime and its managed virtual network; Private endpoints: yours and the managed ones | Ch 15: Private Link: what is private; Network paths to data stores</t>
        </is>
      </c>
    </row>
    <row r="24">
      <c r="A24" s="34" t="n">
        <v>23</v>
      </c>
      <c r="B24" s="34" t="inlineStr">
        <is>
          <t>On-premises Connectivity and Network Paths</t>
        </is>
      </c>
      <c r="C24" s="34" t="inlineStr">
        <is>
          <t>Ch 5 — Integration runtimes: where the work runs</t>
        </is>
      </c>
      <c r="D24" s="34" t="inlineStr">
        <is>
          <t>Full</t>
        </is>
      </c>
      <c r="E24" s="34" t="inlineStr">
        <is>
          <t>Ch 5: Reaching a private network: three routes; The self-hosted integration runtime; Which integration runtime is used</t>
        </is>
      </c>
    </row>
    <row r="25">
      <c r="A25" s="34" t="n">
        <v>24</v>
      </c>
      <c r="B25" s="34" t="inlineStr">
        <is>
          <t>Private Endpoint vs Managed Private Endpoint</t>
        </is>
      </c>
      <c r="C25" s="34" t="inlineStr">
        <is>
          <t>Ch 5 — Integration runtimes: where the work runs; Ch 15 — Security and networking</t>
        </is>
      </c>
      <c r="D25" s="34" t="inlineStr">
        <is>
          <t>Full</t>
        </is>
      </c>
      <c r="E25" s="34" t="inlineStr">
        <is>
          <t>Ch 5: Private endpoints: yours and the managed ones | Ch 15: Private Link: what is private</t>
        </is>
      </c>
    </row>
    <row r="26">
      <c r="A26" s="34" t="n">
        <v>25</v>
      </c>
      <c r="B26" s="34" t="inlineStr">
        <is>
          <t>Copy Activity Fundamentals</t>
        </is>
      </c>
      <c r="C26" s="34" t="inlineStr">
        <is>
          <t>Ch 7 — The Copy activity</t>
        </is>
      </c>
      <c r="D26" s="34" t="inlineStr">
        <is>
          <t>Full</t>
        </is>
      </c>
      <c r="E26" s="34" t="inlineStr">
        <is>
          <t>Ch 7: What the Copy activity does; Configuring a copy; Settings that matter</t>
        </is>
      </c>
    </row>
    <row r="27">
      <c r="A27" s="34" t="n">
        <v>26</v>
      </c>
      <c r="B27" s="34" t="inlineStr">
        <is>
          <t>Connectors, Formats and Capability Matrix</t>
        </is>
      </c>
      <c r="C27" s="34" t="inlineStr">
        <is>
          <t>Ch 7 — The Copy activity</t>
        </is>
      </c>
      <c r="D27" s="34" t="inlineStr">
        <is>
          <t>Full</t>
        </is>
      </c>
      <c r="E27" s="34" t="inlineStr">
        <is>
          <t>Ch 7: Connectors, formats and versions; What Microsoft Doesn't Say: a connector version can be removed under a working pipeline</t>
        </is>
      </c>
    </row>
    <row r="28">
      <c r="A28" s="34" t="n">
        <v>27</v>
      </c>
      <c r="B28" s="34" t="inlineStr">
        <is>
          <t>Schema Mapping and Type Conversion</t>
        </is>
      </c>
      <c r="C28" s="34" t="inlineStr">
        <is>
          <t>Ch 7 — The Copy activity; Ch 8 — Bad rows, cut-off values and "verified" copies</t>
        </is>
      </c>
      <c r="D28" s="34" t="inlineStr">
        <is>
          <t>Full</t>
        </is>
      </c>
      <c r="E28" s="34" t="inlineStr">
        <is>
          <t>Ch 7: Column mapping and data types | Ch 8: Values cut off without an error</t>
        </is>
      </c>
    </row>
    <row r="29">
      <c r="A29" s="34" t="n">
        <v>28</v>
      </c>
      <c r="B29" s="34" t="inlineStr">
        <is>
          <t>Fault Tolerance and Skipped Rows</t>
        </is>
      </c>
      <c r="C29" s="34" t="inlineStr">
        <is>
          <t>Ch 8 — Bad rows, cut-off values and "verified" copies; Ch 16 — Sensitive data in regulated industries</t>
        </is>
      </c>
      <c r="D29" s="34" t="inlineStr">
        <is>
          <t>Full</t>
        </is>
      </c>
      <c r="E29" s="34" t="inlineStr">
        <is>
          <t>Ch 8: Bad rows: fail or skip; Skipped files; The session log; A bad-row operating model | Ch 16: Five places sensitive values leak</t>
        </is>
      </c>
    </row>
    <row r="30">
      <c r="A30" s="34" t="n">
        <v>29</v>
      </c>
      <c r="B30" s="34" t="inlineStr">
        <is>
          <t>Data Consistency Verification</t>
        </is>
      </c>
      <c r="C30" s="34" t="inlineStr">
        <is>
          <t>Ch 8 — Bad rows, cut-off values and "verified" copies; Ch 9 — Proving the migration is complete</t>
        </is>
      </c>
      <c r="D30" s="34" t="inlineStr">
        <is>
          <t>Full</t>
        </is>
      </c>
      <c r="E30" s="34" t="inlineStr">
        <is>
          <t>Ch 8: What "verified" means; What Microsoft Doesn't Say: a verified table copy only proves the counts | Ch 9: Why a successful copy is not proof; Five levels of proof</t>
        </is>
      </c>
    </row>
    <row r="31">
      <c r="A31" s="34" t="n">
        <v>30</v>
      </c>
      <c r="B31" s="34" t="inlineStr">
        <is>
          <t>Staged Copy, Resume and Large File Handling</t>
        </is>
      </c>
      <c r="C31" s="34" t="inlineStr">
        <is>
          <t>Ch 7 — The Copy activity; Ch 14 — Recovering from failures</t>
        </is>
      </c>
      <c r="D31" s="34" t="inlineStr">
        <is>
          <t>Full</t>
        </is>
      </c>
      <c r="E31" s="34" t="inlineStr">
        <is>
          <t>Ch 7: Staged copy; Resume and large files; What Microsoft Doesn't Say: a retried copy usually starts again from the beginning | Ch 14: Rerun only what failed; Retries</t>
        </is>
      </c>
    </row>
    <row r="32">
      <c r="A32" s="34" t="n">
        <v>31</v>
      </c>
      <c r="B32" s="34" t="inlineStr">
        <is>
          <t>Full Load vs Incremental Load</t>
        </is>
      </c>
      <c r="C32" s="34" t="inlineStr">
        <is>
          <t>Ch 10 — Loading only new data</t>
        </is>
      </c>
      <c r="D32" s="34" t="inlineStr">
        <is>
          <t>Full</t>
        </is>
      </c>
      <c r="E32" s="34" t="inlineStr">
        <is>
          <t>Ch 10: Full load and incremental load; Choosing a pattern</t>
        </is>
      </c>
    </row>
    <row r="33">
      <c r="A33" s="34" t="n">
        <v>32</v>
      </c>
      <c r="B33" s="34" t="inlineStr">
        <is>
          <t>Watermark Patterns</t>
        </is>
      </c>
      <c r="C33" s="34" t="inlineStr">
        <is>
          <t>Ch 10 — Loading only new data</t>
        </is>
      </c>
      <c r="D33" s="34" t="inlineStr">
        <is>
          <t>Full</t>
        </is>
      </c>
      <c r="E33" s="34" t="inlineStr">
        <is>
          <t>Ch 10: The watermark, step by step; Duplicates: the other failure; What a watermark cannot do</t>
        </is>
      </c>
    </row>
    <row r="34">
      <c r="A34" s="34" t="n">
        <v>33</v>
      </c>
      <c r="B34" s="34" t="inlineStr">
        <is>
          <t>Change Tracking and CDC</t>
        </is>
      </c>
      <c r="C34" s="34" t="inlineStr">
        <is>
          <t>Ch 10 — Loading only new data; Ch 11 — Change data capture</t>
        </is>
      </c>
      <c r="D34" s="34" t="inlineStr">
        <is>
          <t>Full</t>
        </is>
      </c>
      <c r="E34" s="34" t="inlineStr">
        <is>
          <t>Ch 10: Choosing a pattern; What a watermark cannot do | Ch 11: Why capture changes; Four ways to get changed data; Change Tracking and change data capture in SQL Server</t>
        </is>
      </c>
    </row>
    <row r="35">
      <c r="A35" s="34" t="n">
        <v>34</v>
      </c>
      <c r="B35" s="34" t="inlineStr">
        <is>
          <t>CDC Checkpoints and Rename Risk</t>
        </is>
      </c>
      <c r="C35" s="34" t="inlineStr">
        <is>
          <t>Ch 11 — Change data capture</t>
        </is>
      </c>
      <c r="D35" s="34" t="inlineStr">
        <is>
          <t>Full</t>
        </is>
      </c>
      <c r="E35" s="34" t="inlineStr">
        <is>
          <t>Ch 11: Checkpoints; A change runbook; What Microsoft Doesn't Say: the checkpoint key is described three ways</t>
        </is>
      </c>
    </row>
    <row r="36">
      <c r="A36" s="34" t="n">
        <v>35</v>
      </c>
      <c r="B36" s="34" t="inlineStr">
        <is>
          <t>Metadata-Driven Pipelines</t>
        </is>
      </c>
      <c r="C36" s="34" t="inlineStr">
        <is>
          <t>Ch 10 — Loading only new data; Ch 20 — Migrating with ADF</t>
        </is>
      </c>
      <c r="D36" s="34" t="inlineStr">
        <is>
          <t>Full</t>
        </is>
      </c>
      <c r="E36" s="34" t="inlineStr">
        <is>
          <t>Ch 10: Metadata-driven loading; The watermark, step by step | Ch 20: The control table is the plan; Lessons the documentation draws</t>
        </is>
      </c>
    </row>
    <row r="37">
      <c r="A37" s="34" t="n">
        <v>36</v>
      </c>
      <c r="B37" s="34" t="inlineStr">
        <is>
          <t>Mapping Data Flows</t>
        </is>
      </c>
      <c r="C37" s="34" t="inlineStr">
        <is>
          <t>Ch 12 — Transforming data: data flows, schema drift and Delta</t>
        </is>
      </c>
      <c r="D37" s="34" t="inlineStr">
        <is>
          <t>Full</t>
        </is>
      </c>
      <c r="E37" s="34" t="inlineStr">
        <is>
          <t>Ch 12: Choosing a transformation engine; Mapping data flows; Debug mode; Writing Delta tables</t>
        </is>
      </c>
    </row>
    <row r="38">
      <c r="A38" s="34" t="n">
        <v>37</v>
      </c>
      <c r="B38" s="34" t="inlineStr">
        <is>
          <t>Schema Drift and Data Flow Design</t>
        </is>
      </c>
      <c r="C38" s="34" t="inlineStr">
        <is>
          <t>Ch 12 — Transforming data: data flows, schema drift and Delta</t>
        </is>
      </c>
      <c r="D38" s="34" t="inlineStr">
        <is>
          <t>Full</t>
        </is>
      </c>
      <c r="E38" s="34" t="inlineStr">
        <is>
          <t>Ch 12: When the source changes shape; Writing Delta tables; Landing files in the lake</t>
        </is>
      </c>
    </row>
    <row r="39">
      <c r="A39" s="34" t="n">
        <v>38</v>
      </c>
      <c r="B39" s="34" t="inlineStr">
        <is>
          <t>Reconciliation: Counts, Profiles and Row Fingerprints</t>
        </is>
      </c>
      <c r="C39" s="34" t="inlineStr">
        <is>
          <t>Ch 9 — Proving the migration is complete</t>
        </is>
      </c>
      <c r="D39" s="34" t="inlineStr">
        <is>
          <t>Full</t>
        </is>
      </c>
      <c r="E39" s="34" t="inlineStr">
        <is>
          <t>Ch 9: Five levels of proof; Why totals are not enough; Where the checks run; Writing the plan</t>
        </is>
      </c>
    </row>
    <row r="40">
      <c r="A40" s="34" t="n">
        <v>39</v>
      </c>
      <c r="B40" s="34" t="inlineStr">
        <is>
          <t>Assert, Error Rows and Business Rules</t>
        </is>
      </c>
      <c r="C40" s="34" t="inlineStr">
        <is>
          <t>Ch 9 — Proving the migration is complete; Ch 12 — Transforming data: data flows, schema drift and Delta</t>
        </is>
      </c>
      <c r="D40" s="34" t="inlineStr">
        <is>
          <t>Full</t>
        </is>
      </c>
      <c r="E40" s="34" t="inlineStr">
        <is>
          <t>Ch 9: The Assert transformation; Five levels of proof | Ch 12: Checking data quality inside a data flow</t>
        </is>
      </c>
    </row>
    <row r="41">
      <c r="A41" s="34" t="n">
        <v>40</v>
      </c>
      <c r="B41" s="34" t="inlineStr">
        <is>
          <t>Data Flow Performance Fundamentals</t>
        </is>
      </c>
      <c r="C41" s="34" t="inlineStr">
        <is>
          <t>Ch 12 — Transforming data: data flows, schema drift and Delta; Ch 18 — Fine-tuning copies and data flows</t>
        </is>
      </c>
      <c r="D41" s="34" t="inlineStr">
        <is>
          <t>Full</t>
        </is>
      </c>
      <c r="E41" s="34" t="inlineStr">
        <is>
          <t>Ch 12: Data flow performance fundamentals | Ch 18: The data flow knobs; Known slow spots</t>
        </is>
      </c>
    </row>
    <row r="42">
      <c r="A42" s="34" t="n">
        <v>41</v>
      </c>
      <c r="B42" s="34" t="inlineStr">
        <is>
          <t>Managed Identity, Key Vault and Authentication</t>
        </is>
      </c>
      <c r="C42" s="34" t="inlineStr">
        <is>
          <t>Ch 15 — Security and networking; Ch 16 — Sensitive data in regulated industries</t>
        </is>
      </c>
      <c r="D42" s="34" t="inlineStr">
        <is>
          <t>Full</t>
        </is>
      </c>
      <c r="E42" s="34" t="inlineStr">
        <is>
          <t>Ch 15: What ADF stores and what it does not; Credentials and identities | Ch 16: Controls the documentation provides</t>
        </is>
      </c>
    </row>
    <row r="43">
      <c r="A43" s="34" t="n">
        <v>42</v>
      </c>
      <c r="B43" s="34" t="inlineStr">
        <is>
          <t>CMK and Factory Encryption</t>
        </is>
      </c>
      <c r="C43" s="34" t="inlineStr">
        <is>
          <t>Ch 15 — Security and networking; Ch 16 — Sensitive data in regulated industries</t>
        </is>
      </c>
      <c r="D43" s="34" t="inlineStr">
        <is>
          <t>Full</t>
        </is>
      </c>
      <c r="E43" s="34" t="inlineStr">
        <is>
          <t>Ch 15: Encryption and customer-managed keys | Ch 16: Controls the documentation provides</t>
        </is>
      </c>
    </row>
    <row r="44">
      <c r="A44" s="34" t="n">
        <v>43</v>
      </c>
      <c r="B44" s="34" t="inlineStr">
        <is>
          <t>Trusted Service: Legacy vs Modern</t>
        </is>
      </c>
      <c r="C44" s="34" t="inlineStr">
        <is>
          <t>Ch 15 — Security and networking; Ch 16 — Sensitive data in regulated industries</t>
        </is>
      </c>
      <c r="D44" s="34" t="inlineStr">
        <is>
          <t>Full</t>
        </is>
      </c>
      <c r="E44" s="34" t="inlineStr">
        <is>
          <t>Ch 15: Trusted service: Legacy and Modern | Ch 16: Controls the documentation provides</t>
        </is>
      </c>
    </row>
    <row r="45">
      <c r="A45" s="34" t="n">
        <v>44</v>
      </c>
      <c r="B45" s="34" t="inlineStr">
        <is>
          <t>Monitoring, Alerts and Run History</t>
        </is>
      </c>
      <c r="C45" s="34" t="inlineStr">
        <is>
          <t>Ch 13 — Monitoring, failures and reruns</t>
        </is>
      </c>
      <c r="D45" s="34" t="inlineStr">
        <is>
          <t>Full</t>
        </is>
      </c>
      <c r="E45" s="34" t="inlineStr">
        <is>
          <t>Ch 13: Where to look; Worked example: investigating a failed run; Reruns; History, diagnostic logs and alerts; A production monitoring checklist</t>
        </is>
      </c>
    </row>
    <row r="46">
      <c r="A46" s="34" t="n">
        <v>45</v>
      </c>
      <c r="B46" s="34" t="inlineStr">
        <is>
          <t>Operational Logging and Sensitive Data</t>
        </is>
      </c>
      <c r="C46" s="34" t="inlineStr">
        <is>
          <t>Ch 15 — Security and networking; Ch 16 — Sensitive data in regulated industries</t>
        </is>
      </c>
      <c r="D46" s="34" t="inlineStr">
        <is>
          <t>Full</t>
        </is>
      </c>
      <c r="E46" s="34" t="inlineStr">
        <is>
          <t>Ch 15: Logging, run history and sensitive data | Ch 16: Controls the documentation provides; Five places sensitive values leak; Compliance; Requirements to settle before building</t>
        </is>
      </c>
    </row>
    <row r="47">
      <c r="A47" s="34" t="n">
        <v>46</v>
      </c>
      <c r="B47" s="34" t="inlineStr">
        <is>
          <t>Git Integration and Collaboration</t>
        </is>
      </c>
      <c r="C47" s="34" t="inlineStr">
        <is>
          <t>Ch 19 — From Dev to Prod</t>
        </is>
      </c>
      <c r="D47" s="34" t="inlineStr">
        <is>
          <t>Full</t>
        </is>
      </c>
      <c r="E47" s="34" t="inlineStr">
        <is>
          <t>Ch 19: The release path; Git integration and collaboration</t>
        </is>
      </c>
    </row>
    <row r="48">
      <c r="A48" s="34" t="n">
        <v>47</v>
      </c>
      <c r="B48" s="34" t="inlineStr">
        <is>
          <t>ARM Templates and Automated Publishing</t>
        </is>
      </c>
      <c r="C48" s="34" t="inlineStr">
        <is>
          <t>Ch 19 — From Dev to Prod</t>
        </is>
      </c>
      <c r="D48" s="34" t="inlineStr">
        <is>
          <t>Full</t>
        </is>
      </c>
      <c r="E48" s="34" t="inlineStr">
        <is>
          <t>Ch 19: From the factory definition to ARM templates; Deploying with a release pipeline</t>
        </is>
      </c>
    </row>
    <row r="49">
      <c r="A49" s="34" t="n">
        <v>48</v>
      </c>
      <c r="B49" s="34" t="inlineStr">
        <is>
          <t>Bicep and Infrastructure as Code</t>
        </is>
      </c>
      <c r="C49" s="34" t="inlineStr">
        <is>
          <t>Ch 15 — Security and networking; Ch 19 — From Dev to Prod</t>
        </is>
      </c>
      <c r="D49" s="34" t="inlineStr">
        <is>
          <t>Full</t>
        </is>
      </c>
      <c r="E49" s="34" t="inlineStr">
        <is>
          <t>Ch 15: Provisioning with infrastructure as code; Governance: policy, locks and tags | Ch 19: Infrastructure as code with Bicep</t>
        </is>
      </c>
    </row>
    <row r="50">
      <c r="A50" s="34" t="n">
        <v>49</v>
      </c>
      <c r="B50" s="34" t="inlineStr">
        <is>
          <t>Deployment Parameters, Global Parameters and Trigger Handling</t>
        </is>
      </c>
      <c r="C50" s="34" t="inlineStr">
        <is>
          <t>Ch 13 — Monitoring, failures and reruns; Ch 19 — From Dev to Prod</t>
        </is>
      </c>
      <c r="D50" s="34" t="inlineStr">
        <is>
          <t>Full</t>
        </is>
      </c>
      <c r="E50" s="34" t="inlineStr">
        <is>
          <t>Ch 13: History, diagnostic logs and alerts; A production monitoring checklist | Ch 19: Parameters, global parameters and triggers; Things that catch teams out</t>
        </is>
      </c>
    </row>
    <row r="51">
      <c r="A51" s="34" t="n">
        <v>50</v>
      </c>
      <c r="B51" s="34" t="inlineStr">
        <is>
          <t>Reliability, Idempotency and Recovery</t>
        </is>
      </c>
      <c r="C51" s="34" t="inlineStr">
        <is>
          <t>Ch 14 — Recovering from failures; Ch 19 — From Dev to Prod</t>
        </is>
      </c>
      <c r="D51" s="34" t="inlineStr">
        <is>
          <t>Full</t>
        </is>
      </c>
      <c r="E51" s="34" t="inlineStr">
        <is>
          <t>Ch 14: Rerun only what failed; Retries; Make every rerun safe; When a zone or a region fails; The backup is Git; Writing the incident runbook | Ch 19: Things that catch teams out; A hotfix</t>
        </is>
      </c>
    </row>
    <row r="52">
      <c r="A52" s="34" t="n">
        <v>51</v>
      </c>
      <c r="B52" s="34" t="inlineStr">
        <is>
          <t>Copy Performance: DIUs, Parallel Copies and Bottlenecks</t>
        </is>
      </c>
      <c r="C52" s="34" t="inlineStr">
        <is>
          <t>Ch 17 — Performance and cost; Ch 18 — Fine-tuning copies and data flows</t>
        </is>
      </c>
      <c r="D52" s="34" t="inlineStr">
        <is>
          <t>Full</t>
        </is>
      </c>
      <c r="E52" s="34" t="inlineStr">
        <is>
          <t>Ch 17: How long a copy takes; Tuning, in order; Reading the stages of a copy | Ch 18: Step 1: find the bottleneck; The copy knobs; The self-hosted runtime as a bottleneck; Known slow spots</t>
        </is>
      </c>
    </row>
    <row r="53">
      <c r="A53" s="34" t="n">
        <v>52</v>
      </c>
      <c r="B53" s="34" t="inlineStr">
        <is>
          <t>ADF Cost Model and FinOps</t>
        </is>
      </c>
      <c r="C53" s="34" t="inlineStr">
        <is>
          <t>Ch 17 — Performance and cost</t>
        </is>
      </c>
      <c r="D53" s="34" t="inlineStr">
        <is>
          <t>Full</t>
        </is>
      </c>
      <c r="E53" s="34" t="inlineStr">
        <is>
          <t>Ch 17: What you pay for; Estimating from a proof of concept; Charging costs back</t>
        </is>
      </c>
    </row>
    <row r="54">
      <c r="A54" s="34" t="n">
        <v>53</v>
      </c>
      <c r="B54" s="34" t="inlineStr">
        <is>
          <t>Scale and Concurrency Trade-offs</t>
        </is>
      </c>
      <c r="C54" s="34" t="inlineStr">
        <is>
          <t>Ch 4 — Pipelines, activities and control flow; Ch 18 — Fine-tuning copies and data flows; Ch 23 — Pitfalls: every trap in one place</t>
        </is>
      </c>
      <c r="D54" s="34" t="inlineStr">
        <is>
          <t>Full</t>
        </is>
      </c>
      <c r="E54" s="34" t="inlineStr">
        <is>
          <t>Ch 4: Scale and concurrency: the documented limits; ForEach: the settings and limits that matter | Ch 18: Concurrency and scale trade-offs: designing a concurrency budget; The copy knobs | Ch 23: Running it</t>
        </is>
      </c>
    </row>
    <row r="55">
      <c r="A55" s="34" t="n">
        <v>54</v>
      </c>
      <c r="B55" s="34" t="inlineStr">
        <is>
          <t>Architecture Trade-offs: ADF vs Databricks vs Synapse</t>
        </is>
      </c>
      <c r="C55" s="34" t="inlineStr">
        <is>
          <t>Ch 12 — Transforming data: data flows, schema drift and Delta; Ch 21 — Choosing the right service: ADF, Databricks, Synapse and Fabric; Ch 23 — Pitfalls: every trap in one place</t>
        </is>
      </c>
      <c r="D55" s="34" t="inlineStr">
        <is>
          <t>Full</t>
        </is>
      </c>
      <c r="E55" s="34" t="inlineStr">
        <is>
          <t>Ch 12: Choosing a transformation engine | Ch 21: The four services side by side; Combining services, and a decision guide | Ch 23: Loading data</t>
        </is>
      </c>
    </row>
    <row r="56">
      <c r="A56" s="34" t="n">
        <v>55</v>
      </c>
      <c r="B56" s="34" t="inlineStr">
        <is>
          <t>ADF + Azure Databricks</t>
        </is>
      </c>
      <c r="C56" s="34" t="inlineStr">
        <is>
          <t>Ch 4 — Pipelines, activities and control flow</t>
        </is>
      </c>
      <c r="D56" s="34" t="inlineStr">
        <is>
          <t>Full</t>
        </is>
      </c>
      <c r="E56" s="34" t="inlineStr">
        <is>
          <t>Ch 4: ADF and Azure Databricks</t>
        </is>
      </c>
    </row>
    <row r="57">
      <c r="A57" s="34" t="n">
        <v>56</v>
      </c>
      <c r="B57" s="34" t="inlineStr">
        <is>
          <t>ADF + Azure Synapse</t>
        </is>
      </c>
      <c r="C57" s="34" t="inlineStr">
        <is>
          <t>Ch 4 — Pipelines, activities and control flow; Ch 12 — Transforming data: data flows, schema drift and Delta</t>
        </is>
      </c>
      <c r="D57" s="34" t="inlineStr">
        <is>
          <t>Full</t>
        </is>
      </c>
      <c r="E57" s="34" t="inlineStr">
        <is>
          <t>Ch 4: ADF and Azure Synapse Analytics; Activity types and where they run | Ch 12: Choosing a transformation engine</t>
        </is>
      </c>
    </row>
    <row r="58">
      <c r="A58" s="34" t="n">
        <v>57</v>
      </c>
      <c r="B58" s="34" t="inlineStr">
        <is>
          <t>ADF vs Fabric Data Factory in 2026</t>
        </is>
      </c>
      <c r="C58" s="34" t="inlineStr">
        <is>
          <t>Ch 22 — ADF and Fabric Data Factory</t>
        </is>
      </c>
      <c r="D58" s="34" t="inlineStr">
        <is>
          <t>Full</t>
        </is>
      </c>
      <c r="E58" s="34" t="inlineStr">
        <is>
          <t>Ch 22: Where ADF stands; Not in Fabric yet; Three ways to move; A three-minute answer</t>
        </is>
      </c>
    </row>
    <row r="59">
      <c r="A59" s="34" t="n">
        <v>58</v>
      </c>
      <c r="B59" s="34" t="inlineStr">
        <is>
          <t>Enterprise Migration Architecture</t>
        </is>
      </c>
      <c r="C59" s="34" t="inlineStr">
        <is>
          <t>Ch 9 — Proving the migration is complete; Ch 14 — Recovering from failures; Ch 20 — Migrating with ADF; Ch 23 — Pitfalls: every trap in one place</t>
        </is>
      </c>
      <c r="D59" s="34" t="inlineStr">
        <is>
          <t>Full</t>
        </is>
      </c>
      <c r="E59" s="34" t="inlineStr">
        <is>
          <t>Ch 9: Writing the plan; Five levels of proof | Ch 14: The shape of every recovery plan; Writing the incident runbook | Ch 20: End-to-end enterprise migration architecture case: 100–500 tables to Azure; What a migration is; Online or offline; Hadoop to ADLS Gen2; The control table is the plan; Lessons the documentation draws | Ch 23: Loading data; Failures that look like success; Releases, security and recovery</t>
        </is>
      </c>
    </row>
    <row r="60">
      <c r="A60" s="34" t="n">
        <v>59</v>
      </c>
      <c r="B60" s="34" t="inlineStr">
        <is>
          <t>ADF Interview Scenario Drills</t>
        </is>
      </c>
      <c r="C60" s="34" t="inlineStr">
        <is>
          <t>Ch 13 — Monitoring, failures and reruns; Ch 23 — Pitfalls: every trap in one place</t>
        </is>
      </c>
      <c r="D60" s="34" t="inlineStr">
        <is>
          <t>Full</t>
        </is>
      </c>
      <c r="E60" s="34" t="inlineStr">
        <is>
          <t>Ch 13: How a pipeline's status is decided; Interview drills | Ch 23: How to use this page; Ten interview drills; A manager's one-page view</t>
        </is>
      </c>
    </row>
    <row r="61">
      <c r="A61" s="34" t="n">
        <v>60</v>
      </c>
      <c r="B61" s="34" t="inlineStr">
        <is>
          <t>ADF Architecture Review Capstone</t>
        </is>
      </c>
      <c r="C61" s="34" t="inlineStr">
        <is>
          <t>Ch 23 — Pitfalls: every trap in one place</t>
        </is>
      </c>
      <c r="D61" s="34" t="inlineStr">
        <is>
          <t>Full</t>
        </is>
      </c>
      <c r="E61" s="34" t="inlineStr">
        <is>
          <t>Ch 23: Architecture review capstone: an end-to-end design review; Ten interview drills</t>
        </is>
      </c>
    </row>
    <row r="62">
      <c r="A62" s="34" t="n">
        <v>61</v>
      </c>
      <c r="B62" s="34" t="inlineStr">
        <is>
          <t>How ADF Works: Architecture and the Four Questions</t>
        </is>
      </c>
      <c r="C62" s="34" t="inlineStr">
        <is>
          <t>Ch 2 — How ADF works: the architecture and the workflow</t>
        </is>
      </c>
      <c r="D62" s="34" t="inlineStr">
        <is>
          <t>Full</t>
        </is>
      </c>
      <c r="E62" s="34" t="inlineStr">
        <is>
          <t>Ch 2: The whole picture on one page; Five capabilities, eight components; What ADF can do, and the limit to remember; The four questions, once through the retail load; Question 1: connect and collect; Question 2: transform and enrich; Choosing where a transformation runs; Question 3: reach production; Question 4: monitor and recover</t>
        </is>
      </c>
    </row>
  </sheetData>
  <conditionalFormatting sqref="D2:D62">
    <cfRule type="expression" priority="1" dxfId="4">
      <formula>D2="Full"</formula>
    </cfRule>
    <cfRule type="expression" priority="2" dxfId="5">
      <formula>D2="Partial"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2026-10-23T06:21:12Z</dcterms:created>
  <dcterms:modified xsi:type="dcterms:W3CDTF">2026-10-23T06:21:12Z</dcterms:modified>
</cp:coreProperties>
</file>