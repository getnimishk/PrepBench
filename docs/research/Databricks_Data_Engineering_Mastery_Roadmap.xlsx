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workspace\PrepBench\.claude\worktrees\databricks-research-1e243f\docs\research\"/>
    </mc:Choice>
  </mc:AlternateContent>
  <xr:revisionPtr revIDLastSave="0" documentId="13_ncr:1_{6328D6D0-0052-413C-AE5B-E3F1F747CD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bricks Master Syllabus" sheetId="1" r:id="rId1"/>
    <sheet name="Journey Progress Tracker" sheetId="2" r:id="rId2"/>
    <sheet name="Databricks Command Reference" sheetId="3" r:id="rId3"/>
    <sheet name="Mental Model" sheetId="4" r:id="rId4"/>
    <sheet name="Error Catalogu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3" i="2" l="1"/>
  <c r="B113" i="2"/>
  <c r="C112" i="2"/>
  <c r="B112" i="2"/>
  <c r="C111" i="2"/>
  <c r="B111" i="2"/>
  <c r="C110" i="2"/>
  <c r="B110" i="2"/>
  <c r="C109" i="2"/>
  <c r="B109" i="2"/>
  <c r="C108" i="2"/>
  <c r="B108" i="2"/>
  <c r="C107" i="2"/>
  <c r="B107" i="2"/>
  <c r="C106" i="2"/>
  <c r="B106" i="2"/>
  <c r="C105" i="2"/>
  <c r="B105" i="2"/>
  <c r="C104" i="2"/>
  <c r="B104" i="2"/>
  <c r="C103" i="2"/>
  <c r="B103" i="2"/>
  <c r="C102" i="2"/>
  <c r="B102" i="2"/>
  <c r="C101" i="2"/>
  <c r="B101" i="2"/>
  <c r="C100" i="2"/>
  <c r="B100" i="2"/>
  <c r="C99" i="2"/>
  <c r="B99" i="2"/>
  <c r="C98" i="2"/>
  <c r="B98" i="2"/>
  <c r="C97" i="2"/>
  <c r="B97" i="2"/>
  <c r="C96" i="2"/>
  <c r="B96" i="2"/>
  <c r="C95" i="2"/>
  <c r="B95" i="2"/>
  <c r="C94" i="2"/>
  <c r="B94" i="2"/>
  <c r="C93" i="2"/>
  <c r="B93" i="2"/>
  <c r="C92" i="2"/>
  <c r="B92" i="2"/>
  <c r="C91" i="2"/>
  <c r="B91" i="2"/>
  <c r="C90" i="2"/>
  <c r="B90" i="2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B76" i="2"/>
  <c r="C75" i="2"/>
  <c r="B75" i="2"/>
  <c r="C74" i="2"/>
  <c r="B74" i="2"/>
  <c r="C73" i="2"/>
  <c r="B73" i="2"/>
  <c r="C72" i="2"/>
  <c r="B72" i="2"/>
  <c r="C71" i="2"/>
  <c r="B71" i="2"/>
  <c r="C70" i="2"/>
  <c r="B70" i="2"/>
  <c r="C69" i="2"/>
  <c r="B69" i="2"/>
  <c r="C68" i="2"/>
  <c r="B68" i="2"/>
  <c r="C67" i="2"/>
  <c r="B67" i="2"/>
  <c r="C66" i="2"/>
  <c r="B66" i="2"/>
  <c r="C65" i="2"/>
  <c r="B65" i="2"/>
  <c r="C64" i="2"/>
  <c r="B64" i="2"/>
  <c r="C63" i="2"/>
  <c r="B63" i="2"/>
  <c r="C62" i="2"/>
  <c r="B62" i="2"/>
  <c r="C61" i="2"/>
  <c r="B61" i="2"/>
  <c r="C60" i="2"/>
  <c r="B60" i="2"/>
  <c r="C59" i="2"/>
  <c r="B59" i="2"/>
  <c r="C58" i="2"/>
  <c r="B58" i="2"/>
  <c r="C57" i="2"/>
  <c r="B57" i="2"/>
  <c r="C56" i="2"/>
  <c r="B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A3" i="2" s="1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E3" i="2"/>
  <c r="D3" i="2"/>
  <c r="C3" i="2"/>
  <c r="B3" i="2"/>
  <c r="F110" i="1"/>
</calcChain>
</file>

<file path=xl/sharedStrings.xml><?xml version="1.0" encoding="utf-8"?>
<sst xmlns="http://schemas.openxmlformats.org/spreadsheetml/2006/main" count="896" uniqueCount="640">
  <si>
    <t>Phase</t>
  </si>
  <si>
    <t>#</t>
  </si>
  <si>
    <t>Topic</t>
  </si>
  <si>
    <t>Learning Objective</t>
  </si>
  <si>
    <t>Success Criteria</t>
  </si>
  <si>
    <t>Est. Hours</t>
  </si>
  <si>
    <t>Guide Chapter</t>
  </si>
  <si>
    <t>Research Ref</t>
  </si>
  <si>
    <t>1. Lakehouse &amp; Platform Foundations</t>
  </si>
  <si>
    <t>What a Lakehouse Is</t>
  </si>
  <si>
    <t>Understand how a lakehouse combines open files in cloud storage with warehouse-style tables, governance and one copy of data for batch, streaming, BI and ML.</t>
  </si>
  <si>
    <t>Explain in two minutes why a lakehouse avoids keeping a data lake and a warehouse in sync, using one example table.</t>
  </si>
  <si>
    <t>§13</t>
  </si>
  <si>
    <t>Control Plane vs Compute Plane on Azure</t>
  </si>
  <si>
    <t>Understand what runs in the Databricks account (control plane, serverless compute) and what runs in your Azure subscription (classic compute, workspace storage).</t>
  </si>
  <si>
    <t>Draw both planes for a classic and a serverless workload and say where each one's data and VMs live.</t>
  </si>
  <si>
    <t>§17</t>
  </si>
  <si>
    <t>Account, Workspace and Metastore</t>
  </si>
  <si>
    <t>Understand the account (identity, workspaces, metastores, billing), workspaces, and a Unity Catalog metastore shared by workspaces in one region.</t>
  </si>
  <si>
    <t>Given a two-region company, say how many metastores it needs and which workspaces attach to each.</t>
  </si>
  <si>
    <t>§17, §6.1</t>
  </si>
  <si>
    <t>Workspace Objects and Permissions</t>
  </si>
  <si>
    <t>Understand workspace-level assets (notebooks, folders, workspace files, jobs, pipelines, dashboards, queries) and that workspace access control lists, not Unity Catalog, govern them.</t>
  </si>
  <si>
    <t>Sort ten objects into Unity Catalog securables and workspace assets, and say who controls access to each.</t>
  </si>
  <si>
    <t>§6.1</t>
  </si>
  <si>
    <t>Product Names, Old and New</t>
  </si>
  <si>
    <t>Master the 2025-26 renames (DLT to Lakeflow Spark Declarative Pipelines, Asset Bundles to Declarative Automation Bundles, Delta Sharing to OpenSharing, APPLY CHANGES to AUTO CDC, Repos to Git folders).</t>
  </si>
  <si>
    <t>Translate five old product names from an older course into today's names without looking.</t>
  </si>
  <si>
    <t>§0</t>
  </si>
  <si>
    <t>Databricks Free Edition Setup</t>
  </si>
  <si>
    <t>Build a working Free Edition workspace for the hands-on steps, and know its limits (serverless only, no classic clusters or account console).</t>
  </si>
  <si>
    <t>Create a catalog, schema and table in Free Edition and list three things it cannot do.</t>
  </si>
  <si>
    <t>§18</t>
  </si>
  <si>
    <t>2. Parquet: The File Format</t>
  </si>
  <si>
    <t>Columnar Storage</t>
  </si>
  <si>
    <t>Understand why storing data column by column lets an engine read only the columns a query needs and compress similar values well.</t>
  </si>
  <si>
    <t>Explain, with a 3-column example, how many bytes a one-column query reads in row vs columnar storage.</t>
  </si>
  <si>
    <t>§22.1, §22.2</t>
  </si>
  <si>
    <t>Parquet File Anatomy</t>
  </si>
  <si>
    <t>Master the layout of a Parquet file: PAR1 magic bytes, row groups, one column chunk per column, pages, and the footer written last.</t>
  </si>
  <si>
    <t>Sketch a Parquet file from memory and explain why the footer is written after the data and read first.</t>
  </si>
  <si>
    <t>§22.1</t>
  </si>
  <si>
    <t>Statistics, Page Index and Bloom Filters</t>
  </si>
  <si>
    <t>Understand how min/max statistics, the optional page index and bloom filters let a reader skip data that cannot match a filter.</t>
  </si>
  <si>
    <t>For an equality filter on a high-cardinality ID column, say which of the three helps most and why.</t>
  </si>
  <si>
    <t>§22.2</t>
  </si>
  <si>
    <t>Types, Encodings and Compression</t>
  </si>
  <si>
    <t>Understand physical vs logical types, nested data (definition and repetition levels), dictionary encoding and its fallback, and page compression codecs.</t>
  </si>
  <si>
    <t>Explain why a column with few distinct values compresses well and what happens when its dictionary grows too big.</t>
  </si>
  <si>
    <t>§22.3, §22.4</t>
  </si>
  <si>
    <t>Parquet in Spark</t>
  </si>
  <si>
    <t>Understand Spark's Parquet behaviour: columns read as nullable, schema merging off by default, partition discovery, snappy as the default codec.</t>
  </si>
  <si>
    <t>Read a folder of Parquet files with two schemas in Free Edition and show the result with and without mergeSchema.</t>
  </si>
  <si>
    <t>§22.5</t>
  </si>
  <si>
    <t>Hive-Style Partitioning and Small Files</t>
  </si>
  <si>
    <t>Understand Hive-style partition directories, why over-partitioning creates many small files, and why plain Parquet has no transactions.</t>
  </si>
  <si>
    <t>Explain to a stakeholder why a table partitioned by customer ID got slower, in three sentences.</t>
  </si>
  <si>
    <t>3. Delta Lake Internals</t>
  </si>
  <si>
    <t>Delta Lake = Parquet + Transaction Log</t>
  </si>
  <si>
    <t>Understand Delta Lake as Parquet data files plus a file-based transaction log, and that every Databricks table is Delta by default.</t>
  </si>
  <si>
    <t>Create a Delta table and use DESCRIBE DETAIL to show its location, file count and protocol, then explain what its _delta_log folder holds.</t>
  </si>
  <si>
    <t>§2.1</t>
  </si>
  <si>
    <t>Commit Files in _delta_log</t>
  </si>
  <si>
    <t>Master the log: one JSON file per version, 20-digit zero-padded names, contiguous versions, a version's file as the unit of atomicity.</t>
  </si>
  <si>
    <t>Make three writes, list them with DESCRIBE HISTORY, and name the version and JSON commit file each one created.</t>
  </si>
  <si>
    <t>Log Actions</t>
  </si>
  <si>
    <t>Understand the actions a commit records: metaData, add and remove (logical files with statistics), protocol, cdc, txn and commitInfo.</t>
  </si>
  <si>
    <t>In a real commit file, identify every action and say what each changed in the table.</t>
  </si>
  <si>
    <t>§2.7</t>
  </si>
  <si>
    <t>Snapshots, Tombstones and Log Replay</t>
  </si>
  <si>
    <t>Understand how a reader rebuilds a snapshot from the log, and why removed files stay as tombstones until they expire.</t>
  </si>
  <si>
    <t>Explain why an UPDATE leaves the old data file on storage and what eventually deletes it.</t>
  </si>
  <si>
    <t>§2.1, §2.7</t>
  </si>
  <si>
    <t>Checkpoints and _last_checkpoint</t>
  </si>
  <si>
    <t>Understand Parquet checkpoints (classic, V2 with sidecars), the _last_checkpoint pointer and log compaction files, and why they save log replay.</t>
  </si>
  <si>
    <t>Explain how a reader finds the latest snapshot of a table with 10,000 commits without listing every file.</t>
  </si>
  <si>
    <t>§2.2, §2.7</t>
  </si>
  <si>
    <t>Optimistic Concurrency and Write Conflicts</t>
  </si>
  <si>
    <t>Master optimistic concurrency: read, write files, validate and commit; no locks; a conflicting commit fails with a concurrent modification exception.</t>
  </si>
  <si>
    <t>Describe step by step what happens when two jobs MERGE into the same table at the same time.</t>
  </si>
  <si>
    <t>Isolation Levels and Transaction Scope</t>
  </si>
  <si>
    <t>Understand snapshot isolation for reads, WriteSerializable (default) vs Serializable for writes, single-statement transactions, and BEGIN ATOMIC with catalog commits.</t>
  </si>
  <si>
    <t>Explain what a long-running report sees while another job overwrites the table it reads.</t>
  </si>
  <si>
    <t>Protocol Versions and Table Features</t>
  </si>
  <si>
    <t>Understand minReaderVersion/minWriterVersion, reader vs writer table features, and why enabling a feature can lock out older clients.</t>
  </si>
  <si>
    <t>Say what happens to an external reader when deletion vectors or liquid clustering are enabled on a table.</t>
  </si>
  <si>
    <t>§2.7, §2.5</t>
  </si>
  <si>
    <t>Idempotent Writes with Transaction Identifiers</t>
  </si>
  <si>
    <t>Understand how txn (appId, version) recorded in the log lets the Structured Streaming Delta sink skip a batch it already committed.</t>
  </si>
  <si>
    <t>Explain why a restarted stream doesn't write the same micro-batch twice into a Delta table.</t>
  </si>
  <si>
    <t>§2.7, §8</t>
  </si>
  <si>
    <t>4. Delta Lake Operations</t>
  </si>
  <si>
    <t>Table History</t>
  </si>
  <si>
    <t>Master DESCRIBE HISTORY: operations, user, timestamp and operation parameters for each version.</t>
  </si>
  <si>
    <t>Use DESCRIBE HISTORY to find which version a bad UPDATE created and who ran it.</t>
  </si>
  <si>
    <t>§2.2</t>
  </si>
  <si>
    <t>Time Travel</t>
  </si>
  <si>
    <t>Master VERSION AS OF / TIMESTAMP AS OF and the @ syntax, and the uses: audit, reproducing reports, fixing mistakes.</t>
  </si>
  <si>
    <t>Recover rows deleted by mistake using INSERT ... SELECT ... VERSION AS OF in Free Edition.</t>
  </si>
  <si>
    <t>Log Retention vs Deleted-File Retention</t>
  </si>
  <si>
    <t>Understand logRetentionDuration (30 days) and deletedFileRetentionDuration (7 days), and that time travel needs both log and data files.</t>
  </si>
  <si>
    <t>Set retention for a table that must support 30 days of time travel and justify both properties.</t>
  </si>
  <si>
    <t>VACUUM</t>
  </si>
  <si>
    <t>Master VACUUM: removes unreferenced files older than the retention, DRY RUN, the 7-day safety check, LITE vs FULL, and what it means for time travel.</t>
  </si>
  <si>
    <t>Predict which versions stay queryable after VACUUM with 7-day retention, then check with DRY RUN.</t>
  </si>
  <si>
    <t>§2.3</t>
  </si>
  <si>
    <t>RESTORE</t>
  </si>
  <si>
    <t>Understand RESTORE TABLE to a version or timestamp, why it fails after VACUUM, and why a downstream stream sees it as new data.</t>
  </si>
  <si>
    <t>Restore a table in Free Edition and explain why a stream reading it might produce duplicates.</t>
  </si>
  <si>
    <t>Schema Enforcement</t>
  </si>
  <si>
    <t>Understand how Delta rejects writes whose columns or types don't match the table schema.</t>
  </si>
  <si>
    <t>Append a DataFrame with an extra column and a wrong type, and explain each error.</t>
  </si>
  <si>
    <t>§3</t>
  </si>
  <si>
    <t>Schema Evolution</t>
  </si>
  <si>
    <t>Master explicit evolution: mergeSchema, ALTER TABLE ADD COLUMNS, type widening, and which changes need a rewrite or break streams.</t>
  </si>
  <si>
    <t>Add a column to a table both by mergeSchema and by ALTER TABLE, and say which one a reviewer can see coming.</t>
  </si>
  <si>
    <t>MERGE Upserts</t>
  </si>
  <si>
    <t>Master MERGE INTO with matched, not-matched and not-matched-by-source clauses, and the duplicate-source-key failure.</t>
  </si>
  <si>
    <t>Write a MERGE that applies a CDC batch, then make it fail with a duplicate key and fix the source.</t>
  </si>
  <si>
    <t>§4</t>
  </si>
  <si>
    <t>Change Data Feed</t>
  </si>
  <si>
    <t>Understand change data feed: row-level inserts, updates (pre/post image) and deletes between versions, and table_changes().</t>
  </si>
  <si>
    <t>Enable CDF on a table, run an UPDATE and read the change rows with their _change_type.</t>
  </si>
  <si>
    <t>§5</t>
  </si>
  <si>
    <t>5. Data Layout &amp; Table Optimization</t>
  </si>
  <si>
    <t>OPTIMIZE and Compaction</t>
  </si>
  <si>
    <t>Master OPTIMIZE bin-packing: rewrites small files into larger ones, is idempotent, and changes no data for readers or streams.</t>
  </si>
  <si>
    <t>Write 50 small appends, run OPTIMIZE, and show the file count before and after in DESCRIBE DETAIL.</t>
  </si>
  <si>
    <t>§2.4</t>
  </si>
  <si>
    <t>Data Skipping and File Statistics</t>
  </si>
  <si>
    <t>Understand per-file min/max/null-count statistics on the first 32 columns and how a filter skips files.</t>
  </si>
  <si>
    <t>Explain why a filter on column 40 of a wide table skips nothing, and two ways to fix it.</t>
  </si>
  <si>
    <t>§2.5</t>
  </si>
  <si>
    <t>Z-Order</t>
  </si>
  <si>
    <t>Understand OPTIMIZE ZORDER BY: co-locating values for skipping, not idempotent, weaker with each extra column.</t>
  </si>
  <si>
    <t>Say when Z-order still makes sense today and why Databricks recommends liquid clustering instead.</t>
  </si>
  <si>
    <t>Liquid Clustering</t>
  </si>
  <si>
    <t>Master CLUSTER BY: up to four keys, keys changeable without rewriting, incremental clustering, CLUSTER BY AUTO on managed tables.</t>
  </si>
  <si>
    <t>Create a liquid-clustered table, change its keys, and explain why old data isn't rewritten.</t>
  </si>
  <si>
    <t>Deletion Vectors</t>
  </si>
  <si>
    <t>Understand deletion vectors: rows marked deleted instead of rewriting files, applied later by OPTIMIZE or REORG PURGE.</t>
  </si>
  <si>
    <t>Explain the steps to physically remove a customer's rows for a GDPR request on a table with deletion vectors.</t>
  </si>
  <si>
    <t>Predictive Optimization</t>
  </si>
  <si>
    <t>Understand predictive optimization: automatic OPTIMIZE, VACUUM and ANALYZE on Unity Catalog managed tables, its 7-day minimum, no ZORDER.</t>
  </si>
  <si>
    <t>Explain what to change before enabling it on a table that needs 30 days of time travel.</t>
  </si>
  <si>
    <t>§2.6</t>
  </si>
  <si>
    <t>Partitioning on Databricks</t>
  </si>
  <si>
    <t>Understand Databricks' guidance: liquid clustering first, no partitions under 1 TB, at least 1 GB per partition, low-cardinality columns only.</t>
  </si>
  <si>
    <t>Review a proposed partitioning scheme and say whether to keep, change or replace it with clustering.</t>
  </si>
  <si>
    <t>§22.5, §2.5</t>
  </si>
  <si>
    <t>6. Unity Catalog &amp; Governance</t>
  </si>
  <si>
    <t>Unity Catalog Object Model</t>
  </si>
  <si>
    <t>Master the three-level namespace (catalog.schema.object), the metastore, and securable objects including storage credentials and external locations.</t>
  </si>
  <si>
    <t>Draw the hierarchy for one table, one volume and one external location, with who owns each.</t>
  </si>
  <si>
    <t>Managed vs External Tables</t>
  </si>
  <si>
    <t>Understand who manages files for each, what DROP TABLE does to the files, UNDROP, and SET MANAGED to convert.</t>
  </si>
  <si>
    <t>Drop a managed and an external table and explain what happened to each one's files.</t>
  </si>
  <si>
    <t>§6.2</t>
  </si>
  <si>
    <t>Volumes</t>
  </si>
  <si>
    <t>Understand managed and external volumes for non-tabular files and the /Volumes path.</t>
  </si>
  <si>
    <t>Upload a CSV into a volume in Free Edition and read it with read_files.</t>
  </si>
  <si>
    <t>§6.5</t>
  </si>
  <si>
    <t>Storage Credentials and External Locations on Azure</t>
  </si>
  <si>
    <t>Understand the Access Connector's managed identity, storage roles on ADLS, and how storage credentials and external locations use it.</t>
  </si>
  <si>
    <t>Describe the five steps to let Unity Catalog read an ADLS container, with the Azure role at each step.</t>
  </si>
  <si>
    <t>§6.2, §17</t>
  </si>
  <si>
    <t>Privileges and Inheritance</t>
  </si>
  <si>
    <t>Master GRANT/REVOKE, the USE CATALOG + USE SCHEMA + SELECT chain, inheritance to current and future objects, MODIFY and BROWSE.</t>
  </si>
  <si>
    <t>Grant an analyst group read on one schema and prove it works for a table created afterwards.</t>
  </si>
  <si>
    <t>§6.3</t>
  </si>
  <si>
    <t>Ownership and the Missing DENY</t>
  </si>
  <si>
    <t>Understand object ownership and MANAGE, and that Unity Catalog SQL has no DENY statement (only legacy Hive ACLs and a Beta ABAC DENY policy).</t>
  </si>
  <si>
    <t>Explain why a 'DENY' answer refers to the legacy model, and how you would block access in Unity Catalog.</t>
  </si>
  <si>
    <t>§6.3, §19</t>
  </si>
  <si>
    <t>Row Filters and Column Masks</t>
  </si>
  <si>
    <t>Master row filters and column masks as SQL UDFs on a table, and is_account_group_member().</t>
  </si>
  <si>
    <t>Write a mask so only one group sees real email addresses, apply it, and say what a user outside the group sees.</t>
  </si>
  <si>
    <t>§6.4</t>
  </si>
  <si>
    <t>ABAC and Dynamic Views</t>
  </si>
  <si>
    <t>Understand governed tags and ABAC policies across many tables, and dynamic views for curated slices.</t>
  </si>
  <si>
    <t>Say when you'd use an ABAC policy, a column mask and a dynamic view, with one example each.</t>
  </si>
  <si>
    <t>Lineage and Audit</t>
  </si>
  <si>
    <t>Understand automatic table and column lineage, the lineage system tables, and audit logs for who did what.</t>
  </si>
  <si>
    <t>Use lineage to list every downstream table affected if a source column is renamed.</t>
  </si>
  <si>
    <t>§6.5, §15</t>
  </si>
  <si>
    <t>7. Compute &amp; Cost</t>
  </si>
  <si>
    <t>Serverless vs Classic Compute</t>
  </si>
  <si>
    <t>Understand serverless (Databricks-managed, fast start) vs classic (driver plus workers in your subscription) and when each fits.</t>
  </si>
  <si>
    <t>Pick compute for an hourly job, an ad hoc notebook and a BI dashboard, and justify each.</t>
  </si>
  <si>
    <t>§12</t>
  </si>
  <si>
    <t>All-Purpose vs Job Compute</t>
  </si>
  <si>
    <t>Understand interactive all-purpose clusters vs job compute created per run, and why scheduled jobs belong on job compute.</t>
  </si>
  <si>
    <t>Explain why a nightly job on an all-purpose cluster costs more than the same job on job compute.</t>
  </si>
  <si>
    <t>SQL Warehouses</t>
  </si>
  <si>
    <t>Understand serverless, pro and classic SQL warehouses and what each gives BI and SQL users.</t>
  </si>
  <si>
    <t>Choose a warehouse type for a team of 30 dashboard users and explain the trade-off.</t>
  </si>
  <si>
    <t>Access Modes</t>
  </si>
  <si>
    <t>Understand standard (formerly shared) and dedicated (formerly single user) access modes and Unity Catalog support.</t>
  </si>
  <si>
    <t>Say which access mode a shared team cluster and a single ML engineer's cluster should use.</t>
  </si>
  <si>
    <t>Photon and Runtime Selection</t>
  </si>
  <si>
    <t>Understand Databricks Runtime choice (latest for all-purpose, LTS for production jobs, versionless serverless) and Photon, the native vectorized engine on by default.</t>
  </si>
  <si>
    <t>Choose a runtime for a production job and a development cluster, and say which workloads gain most from Photon.</t>
  </si>
  <si>
    <t>Compute Policies, Pools and Autoscaling</t>
  </si>
  <si>
    <t>Understand admin compute policies that limit what users create, autoscaling between minimum and maximum workers, and pools that keep idle instances ready (no DBUs while idle).</t>
  </si>
  <si>
    <t>Design a policy that caps autoscaling and forces auto termination for a data team, and say when a pool is worth it.</t>
  </si>
  <si>
    <t>DBUs and Cost Levers</t>
  </si>
  <si>
    <t>Understand DBU billing on Azure (VMs plus DBUs) and the levers: auto termination, job compute, spot instances, smaller instances, pools or serverless for idle time, policies.</t>
  </si>
  <si>
    <t>Estimate which of three changes saves most on a workload you describe, and say what you'd measure.</t>
  </si>
  <si>
    <t>8. Spark &amp; Transformation</t>
  </si>
  <si>
    <t>Spark Execution Model</t>
  </si>
  <si>
    <t>Understand jobs, stages, tasks and shuffles, and how the driver splits work across executors.</t>
  </si>
  <si>
    <t>Explain which step of a groupBy causes a shuffle and why it splits the work into two stages.</t>
  </si>
  <si>
    <t>§9</t>
  </si>
  <si>
    <t>DataFrame and SQL Transformations</t>
  </si>
  <si>
    <t>Master select, filter, withColumn, explode, aggregates, approx_count_distinct and summary in PySpark and SQL.</t>
  </si>
  <si>
    <t>Write the same aggregation in PySpark and SQL and show identical results.</t>
  </si>
  <si>
    <t>Joins, Unions and Deduplication</t>
  </si>
  <si>
    <t>Master join types, multi-key joins, union vs unionByName vs SQL UNION/UNION ALL, and dropDuplicates.</t>
  </si>
  <si>
    <t>Explain why DataFrame union() kept duplicates that SQL UNION removed, with a 3-row example.</t>
  </si>
  <si>
    <t>Bronze to Silver to Gold</t>
  </si>
  <si>
    <t>Master the medallion layers: raw append-only bronze, cleaned and conformed silver, business-ready gold aggregates.</t>
  </si>
  <si>
    <t>Design the three tables for one source system and list the checks that move data between them.</t>
  </si>
  <si>
    <t>AQE, Broadcast and Shuffle Partitions</t>
  </si>
  <si>
    <t>Understand adaptive query execution (on by default), the 10 MB broadcast threshold and the 200 shuffle-partition default (Apache Spark values).</t>
  </si>
  <si>
    <t>Explain what AQE changes at runtime for a join between a large and a small table.</t>
  </si>
  <si>
    <t>Skew, Salting and Spill</t>
  </si>
  <si>
    <t>Understand skew (max task far above the 75th percentile), salting a hot key, and spill to disk.</t>
  </si>
  <si>
    <t>Diagnose a skewed groupBy from task metrics and explain why AQE doesn't fix it but salting does.</t>
  </si>
  <si>
    <t>Disk Cache and the Spark UI</t>
  </si>
  <si>
    <t>Understand the disk cache (formerly Delta cache) and how to read a slow stage in the Spark UI.</t>
  </si>
  <si>
    <t>Name the Spark UI metric that shows spill and the one that shows skew.</t>
  </si>
  <si>
    <t>9. Ingestion &amp; Streaming</t>
  </si>
  <si>
    <t>Choosing an Ingestion Method</t>
  </si>
  <si>
    <t>Understand Lakeflow Connect managed connectors, COPY INTO, Auto Loader and Structured Streaming, and start with the most managed that fits.</t>
  </si>
  <si>
    <t>Choose an ingestion method for a SQL Server source, daily CSV drops and a Kafka topic, and justify each.</t>
  </si>
  <si>
    <t>§7.1</t>
  </si>
  <si>
    <t>COPY INTO</t>
  </si>
  <si>
    <t>Master COPY INTO: idempotent file loads that skip already-loaded files, formats, and schema merge options.</t>
  </si>
  <si>
    <t>Run COPY INTO twice over the same files in Free Edition and show the second run loads nothing.</t>
  </si>
  <si>
    <t>§7.2</t>
  </si>
  <si>
    <t>Auto Loader File Detection</t>
  </si>
  <si>
    <t>Understand cloudFiles, RocksDB file tracking in the checkpoint, directory listing vs file notification, and no ordering guarantee.</t>
  </si>
  <si>
    <t>Explain what Auto Loader does when the same file name is dropped twice, and where it remembers it.</t>
  </si>
  <si>
    <t>§7.3</t>
  </si>
  <si>
    <t>Auto Loader Schema Inference and Evolution</t>
  </si>
  <si>
    <t>Master schemaLocation, inferColumnTypes, schema hints, _rescued_data and the evolution modes (addNewColumns, rescue, failOnNewColumns, none).</t>
  </si>
  <si>
    <t>Add a new column to incoming files and show what addNewColumns and rescue each do.</t>
  </si>
  <si>
    <t>Structured Streaming Checkpoints</t>
  </si>
  <si>
    <t>Understand what a checkpoint stores (offsets, commits, state), one checkpoint per query, and which changes need a new checkpoint.</t>
  </si>
  <si>
    <t>Explain what happens if two streams share a checkpoint, or if the checkpoint is deleted.</t>
  </si>
  <si>
    <t>§8</t>
  </si>
  <si>
    <t>Triggers, Watermarks and Output Modes</t>
  </si>
  <si>
    <t>Master default, processingTime and availableNow triggers (serverless supports only availableNow), watermarks and append/update/complete.</t>
  </si>
  <si>
    <t>Pick a trigger and output mode for an hourly incremental job and a running aggregate dashboard.</t>
  </si>
  <si>
    <t>foreachBatch and Exactly-Once</t>
  </si>
  <si>
    <t>Understand foreachBatch for MERGE from a stream, its at-least-once semantics, and idempotency with batch_id.</t>
  </si>
  <si>
    <t>Write a foreachBatch MERGE and explain how it stays correct when a batch is retried.</t>
  </si>
  <si>
    <t>§8, §2.7</t>
  </si>
  <si>
    <t>Recovery, Replay and Backfill</t>
  </si>
  <si>
    <t>Understand restart from a checkpoint vs starting fresh, full refresh and checkpoint reset in pipelines, RESTORE seen downstream as new data, and Auto Loader backfills.</t>
  </si>
  <si>
    <t>Plan how to reprocess one bad week of data without duplicating rows downstream, naming each step's effect.</t>
  </si>
  <si>
    <t>§8, §10, §2.2, §21.2</t>
  </si>
  <si>
    <t>10. Pipelines &amp; Orchestration</t>
  </si>
  <si>
    <t>Pipeline Datasets and Flows</t>
  </si>
  <si>
    <t>Master Lakeflow pipeline datasets (streaming tables, materialized views, views) and flows (append, update, AUTO CDC, materialized view) and how dependencies form the pipeline graph.</t>
  </si>
  <si>
    <t>For five transformations, say which dataset type each should be and why, and which flow writes it.</t>
  </si>
  <si>
    <t>§10</t>
  </si>
  <si>
    <t>Expectations</t>
  </si>
  <si>
    <t>Master expectations: warn (default), drop and fail, and what each records.</t>
  </si>
  <si>
    <t>Add a drop and a fail expectation to a pipeline in Free Edition and read the data quality metrics.</t>
  </si>
  <si>
    <t>AUTO CDC and SCD Types</t>
  </si>
  <si>
    <t>Understand AUTO CDC with keys and SEQUENCE BY, out-of-order events, SCD type 1 vs type 2.</t>
  </si>
  <si>
    <t>Apply a CDC feed as SCD type 2 and show the history rows for one key.</t>
  </si>
  <si>
    <t>Refresh vs Full Refresh</t>
  </si>
  <si>
    <t>Understand triggered vs continuous pipelines, refresh, full refresh (clears streaming tables) and checkpoint reset.</t>
  </si>
  <si>
    <t>Explain what a full refresh does to a streaming table whose source no longer holds old files.</t>
  </si>
  <si>
    <t>Lakeflow Jobs: Tasks and Dependencies</t>
  </si>
  <si>
    <t>Master jobs as DAGs of tasks, task types, parameters, If/else and For each.</t>
  </si>
  <si>
    <t>Build a four-task job in Free Edition with one branch and one parameter.</t>
  </si>
  <si>
    <t>§11</t>
  </si>
  <si>
    <t>Run If, Retries and Timeouts</t>
  </si>
  <si>
    <t>Master Run if conditions, retry policies (set them explicitly), and timeouts.</t>
  </si>
  <si>
    <t>Configure a cleanup task that runs even when an upstream task fails, and a retry on a flaky task.</t>
  </si>
  <si>
    <t>Job Concurrency and Limits</t>
  </si>
  <si>
    <t>Understand one run at a time by default, maximum concurrent runs (runs beyond it are skipped), and workspace limits such as 2,000 concurrent task runs.</t>
  </si>
  <si>
    <t>Explain what happens when an hourly job's run takes 90 minutes, and how to change it.</t>
  </si>
  <si>
    <t>Triggers and Repair Runs</t>
  </si>
  <si>
    <t>Understand scheduled, table-update and file-arrival triggers, and repair re-running only failed tasks and their dependents.</t>
  </si>
  <si>
    <t>Explain why repairing a run can duplicate rows from an append-only task, and how to prevent it.</t>
  </si>
  <si>
    <t>Databricks with ADF and ADLS</t>
  </si>
  <si>
    <t>Understand ADF Notebook and Job activities, baseParameters/jobParameters, runOutput, and who should orchestrate what.</t>
  </si>
  <si>
    <t>Design how an ADF pipeline triggers a Databricks job and reads back its result.</t>
  </si>
  <si>
    <t>11. Azure Networking for Databricks</t>
  </si>
  <si>
    <t>Three Network Connections</t>
  </si>
  <si>
    <t>Understand the three connections secured separately: users to Databricks, control plane to classic compute, and serverless compute to your resources.</t>
  </si>
  <si>
    <t>Draw the three connections for one workspace and name a control for each.</t>
  </si>
  <si>
    <t>§20.1</t>
  </si>
  <si>
    <t>Serverless vs Hybrid Workspaces</t>
  </si>
  <si>
    <t>Understand serverless workspaces (default storage, serverless compute) vs hybrid (classic) workspaces in your subscription, and who may create one.</t>
  </si>
  <si>
    <t>Choose a workspace type for two teams with different needs and justify it.</t>
  </si>
  <si>
    <t>§20.2</t>
  </si>
  <si>
    <t>VNet Injection and Subnet Sizing</t>
  </si>
  <si>
    <t>Master VNet injection: same region and subscription, /16 to /24 VNet, two dedicated subnets (container and host, /26 recommended), two IPs per node, ranges fixed after deployment.</t>
  </si>
  <si>
    <t>Size a VNet and its two subnets for a 100-node peak and show the arithmetic.</t>
  </si>
  <si>
    <t>§20.3</t>
  </si>
  <si>
    <t>Subnet Delegation and NSG Rules</t>
  </si>
  <si>
    <t>Understand subnet delegation to Databricks, the managed NSG rules and their ports, and why they must not be modified.</t>
  </si>
  <si>
    <t>Explain which outbound ports a VNet-injected workspace needs and what each one is for.</t>
  </si>
  <si>
    <t>Secure Cluster Connectivity and Egress</t>
  </si>
  <si>
    <t>Master secure cluster connectivity (no public IPs, outbound relay on 443), NAT gateway egress, and the March 2026 change to default outbound access.</t>
  </si>
  <si>
    <t>Explain why a new workspace's clusters can't reach the internet without a NAT gateway, and how to fix it.</t>
  </si>
  <si>
    <t>§20.4</t>
  </si>
  <si>
    <t>Private Link: Three Kinds</t>
  </si>
  <si>
    <t>Understand inbound (front-end), outbound (serverless) and classic (back-end) Private Link, their prerequisites and endpoints, and complete private isolation.</t>
  </si>
  <si>
    <t>Pick the Private Link setup for a bank that forbids any public path, and list the endpoints it needs.</t>
  </si>
  <si>
    <t>§20.5</t>
  </si>
  <si>
    <t>Browser Authentication and the Transit VNet</t>
  </si>
  <si>
    <t>Understand the browser_authentication endpoint (one per region and DNS zone), the private web auth workspace, and transit vs workspace VNets.</t>
  </si>
  <si>
    <t>Explain why deleting one workspace could break SSO for every private workspace in the region.</t>
  </si>
  <si>
    <t>Serverless Connectivity and Storage Firewalls</t>
  </si>
  <si>
    <t>Understand NCCs and serverless private endpoints, service endpoints, and storage firewalls with network security perimeters and the AzureDatabricksServerless tag.</t>
  </si>
  <si>
    <t>Diagnose a serverless job getting 403 Forbidden from a firewalled ADLS account and give the fix.</t>
  </si>
  <si>
    <t>12. Operate &amp; Deploy</t>
  </si>
  <si>
    <t>System Tables and Monitoring</t>
  </si>
  <si>
    <t>Understand the system catalog (billing, compute, access, lakeflow) for cost, usage and audit.</t>
  </si>
  <si>
    <t>Write a query on a billing system table that attributes last week's DBUs to jobs.</t>
  </si>
  <si>
    <t>§15</t>
  </si>
  <si>
    <t>Pipeline Event Logs and Job Run History</t>
  </si>
  <si>
    <t>Understand the pipeline event log, job run history and the matrix view for diagnosing failures.</t>
  </si>
  <si>
    <t>Find the failing task and its error for a failed job run, and the dropped-row count for a pipeline.</t>
  </si>
  <si>
    <t>§10, §11, §15</t>
  </si>
  <si>
    <t>Identity and Secrets</t>
  </si>
  <si>
    <t>Understand users, groups and service principals for automation, and secret scopes.</t>
  </si>
  <si>
    <t>Explain why a production job should run as a service principal and where its credentials live.</t>
  </si>
  <si>
    <t>§14</t>
  </si>
  <si>
    <t>Git Folders</t>
  </si>
  <si>
    <t>Understand Git folders (formerly Repos) for branching, committing and pulling in the workspace.</t>
  </si>
  <si>
    <t>Clone a repository into a Git folder, change a notebook on a branch and commit it.</t>
  </si>
  <si>
    <t>§16</t>
  </si>
  <si>
    <t>Declarative Automation Bundles</t>
  </si>
  <si>
    <t>Master bundles: databricks.yml, targets, variables, bundle validate/deploy/run with the Databricks CLI.</t>
  </si>
  <si>
    <t>Deploy one job to dev and prod targets with a different schema name per target.</t>
  </si>
  <si>
    <t>13. Production, Troubleshooting &amp; Capstone</t>
  </si>
  <si>
    <t>Running Streams in Production</t>
  </si>
  <si>
    <t>Master production streaming: jobs compute, Continuous job mode, no autoscaling, automatic restart with backoff, no awaitTermination, one job per critical stream.</t>
  </si>
  <si>
    <t>Review a streaming job's settings and list every change needed before it goes to production.</t>
  </si>
  <si>
    <t>§23.1</t>
  </si>
  <si>
    <t>Stateful Streaming in Production</t>
  </si>
  <si>
    <t>Understand state (aggregations, dropDuplicates, stream joins), RocksDB with changelog checkpointing, and shuffle partitions fixed when the checkpoint is created.</t>
  </si>
  <si>
    <t>Explain why raising spark.sql.shuffle.partitions didn't change a running stateful query, and what would.</t>
  </si>
  <si>
    <t>§23.2</t>
  </si>
  <si>
    <t>Notifications and Alerts</t>
  </si>
  <si>
    <t>Master job and task notifications (failure, duration, streaming backlog), destinations, and Databricks SQL alerts on a query result.</t>
  </si>
  <si>
    <t>Set up notifications so a failing task in a multi-task streaming job is noticed within minutes.</t>
  </si>
  <si>
    <t>§23.3</t>
  </si>
  <si>
    <t>Troubleshooting a Failed Job</t>
  </si>
  <si>
    <t>Master the path from alert to cause: Runs tab, matrix view, task run details, common causes, repair with current settings, continuous-job backoff.</t>
  </si>
  <si>
    <t>Walk through a failed run step by step and decide whether repairing it is safe.</t>
  </si>
  <si>
    <t>§23.4</t>
  </si>
  <si>
    <t>Reading Errors: Conditions and SQLSTATE</t>
  </si>
  <si>
    <t>Understand error conditions, SQLSTATE and message parameters, and why code should match the condition, never the message text.</t>
  </si>
  <si>
    <t>Catch TABLE_OR_VIEW_NOT_FOUND in Python by its condition and print its SQLSTATE in Free Edition.</t>
  </si>
  <si>
    <t>§23.5</t>
  </si>
  <si>
    <t>Write, Schema and MERGE Errors</t>
  </si>
  <si>
    <t>Diagnose column-count mismatches, failed schema merges, incompatible types, duplicate MERGE source rows and append-only tables.</t>
  </si>
  <si>
    <t>Reproduce DELTA_MULTIPLE_SOURCE_ROW_MATCHING_TARGET_ROW_IN_MERGE in Free Edition and fix it.</t>
  </si>
  <si>
    <t>§24.2</t>
  </si>
  <si>
    <t>Concurrent Write Conflicts</t>
  </si>
  <si>
    <t>Diagnose the DELTA_CONCURRENT_* family, metadata and protocol changes, and two streams sharing one checkpoint.</t>
  </si>
  <si>
    <t>Name the likely cause and fix for each of five concurrent-write errors.</t>
  </si>
  <si>
    <t>§24.3, §2.7</t>
  </si>
  <si>
    <t>Streaming Errors</t>
  </si>
  <si>
    <t>Diagnose new-field failures, missing notified files, schema changes under a stream, update/delete commits in a streamed table, and out-of-memory on restart.</t>
  </si>
  <si>
    <t>For each streaming error, say whether a restart, a new checkpoint, an option or more compute is the fix.</t>
  </si>
  <si>
    <t>§24.4, §23.1</t>
  </si>
  <si>
    <t>File, History and Retention Errors</t>
  </si>
  <si>
    <t>Diagnose missing files referenced by the log, VACUUM retention and LITE errors, time travel past retention, and unsupported table features.</t>
  </si>
  <si>
    <t>Explain how a too-short VACUUM retention turned into DELTA_FILE_NOT_FOUND_DETAILED for a stream.</t>
  </si>
  <si>
    <t>§24.5</t>
  </si>
  <si>
    <t>Query Profile and Query History</t>
  </si>
  <si>
    <t>Use query history and the query profile to find the slowest operators, exploding joins and full scans.</t>
  </si>
  <si>
    <t>In Free Edition, open a slow query's profile and name its most expensive operator.</t>
  </si>
  <si>
    <t>§23.6</t>
  </si>
  <si>
    <t>Compute That Won't Start</t>
  </si>
  <si>
    <t>Understand the 'compute plane network is misconfigured' and METASTORE_DOWN symptoms and how to test the network path on Azure.</t>
  </si>
  <si>
    <t>List the endpoints you would test from a VM in the workspace subnet, and why.</t>
  </si>
  <si>
    <t>§23.7, §20</t>
  </si>
  <si>
    <t>Libraries and Init Scripts</t>
  </si>
  <si>
    <t>Understand compute-scoped libraries from volumes, why DBFS libraries are discouraged, and Databricks' advice to avoid init scripts (none on serverless).</t>
  </si>
  <si>
    <t>Move a library install out of an init script into a compute policy and explain the gain.</t>
  </si>
  <si>
    <t>§23.8</t>
  </si>
  <si>
    <t>Runtime Lifecycle and Upgrades</t>
  </si>
  <si>
    <t>Understand the runtime lifecycle (six months of features, LTS fixes for three years, end of support) and feature retirement phases.</t>
  </si>
  <si>
    <t>Plan when a team on an LTS runtime must upgrade and what to test first.</t>
  </si>
  <si>
    <t>§23.9</t>
  </si>
  <si>
    <t>Environment Isolation and Catalog Strategy</t>
  </si>
  <si>
    <t>Understand separate workspaces for environments or business units, their costs, and catalogs as data domains with separate storage.</t>
  </si>
  <si>
    <t>Propose a dev/test/prod layout of workspaces and catalogs and name one trade-off.</t>
  </si>
  <si>
    <t>§23.10</t>
  </si>
  <si>
    <t>Encryption and Customer-Managed Keys</t>
  </si>
  <si>
    <t>Understand Azure customer-managed keys for managed disks, managed services and the DBFS root, and that traffic between workers isn't encrypted by default.</t>
  </si>
  <si>
    <t>Say which key protects notebook source, cluster temp disks and the workspace storage account.</t>
  </si>
  <si>
    <t>§23.11</t>
  </si>
  <si>
    <t>High Availability and Disaster Recovery</t>
  </si>
  <si>
    <t>Understand zone-level HA vs cross-region DR, RPO and RTO, active-passive, managed DR, Deep Clone replication, and why DR doesn't fix corruption.</t>
  </si>
  <si>
    <t>Explain to a sponsor why a DR region didn't help when a bad job corrupted a table, and what would have.</t>
  </si>
  <si>
    <t>§23.12</t>
  </si>
  <si>
    <t>Testing Databricks Code</t>
  </si>
  <si>
    <t>Understand unit testing functions with pytest and SQL UDFs, kept outside notebooks in a Git folder.</t>
  </si>
  <si>
    <t>Write one pytest test for a transformation function and run it from a Git folder.</t>
  </si>
  <si>
    <t>§23.13</t>
  </si>
  <si>
    <t>Capstone: End-to-End Medallion Pipeline</t>
  </si>
  <si>
    <t>Build a governed bronze-silver-gold pipeline with ingestion, expectations, a job, grants and monitoring.</t>
  </si>
  <si>
    <t>Run the pipeline in Free Edition, grant a reader group on gold, and explain every design choice to a reviewer.</t>
  </si>
  <si>
    <t>1-24</t>
  </si>
  <si>
    <t>all</t>
  </si>
  <si>
    <t>TOTAL ESTIMATED HOURS</t>
  </si>
  <si>
    <t>Progress Summary</t>
  </si>
  <si>
    <t>Total Topics</t>
  </si>
  <si>
    <t>Completed</t>
  </si>
  <si>
    <t>In Progress</t>
  </si>
  <si>
    <t>Not Started</t>
  </si>
  <si>
    <t>% Complete</t>
  </si>
  <si>
    <t>Status</t>
  </si>
  <si>
    <t>Progress %</t>
  </si>
  <si>
    <t>Start Date</t>
  </si>
  <si>
    <t>Completion Date</t>
  </si>
  <si>
    <t>Evidence / Lab</t>
  </si>
  <si>
    <t>Category</t>
  </si>
  <si>
    <t>Databricks SQL</t>
  </si>
  <si>
    <t>Python / Databricks CLI</t>
  </si>
  <si>
    <t>Create a liquid-clustered Delta table</t>
  </si>
  <si>
    <t>CREATE TABLE t (id BIGINT, ts TIMESTAMP) CLUSTER BY (ts);</t>
  </si>
  <si>
    <t>df.write.clusterBy("ts").saveAsTable("t")</t>
  </si>
  <si>
    <t>See a table's history</t>
  </si>
  <si>
    <t>DESCRIBE HISTORY t;</t>
  </si>
  <si>
    <t>spark.sql("DESCRIBE HISTORY t")</t>
  </si>
  <si>
    <t>See a table's files, size and protocol</t>
  </si>
  <si>
    <t>DESCRIBE DETAIL t;</t>
  </si>
  <si>
    <t>spark.sql("DESCRIBE DETAIL t")</t>
  </si>
  <si>
    <t>Time travel</t>
  </si>
  <si>
    <t>SELECT * FROM t VERSION AS OF 3;</t>
  </si>
  <si>
    <t>spark.read.option("versionAsOf", 3).table("t")</t>
  </si>
  <si>
    <t>Restore a table</t>
  </si>
  <si>
    <t>RESTORE TABLE t TO VERSION AS OF 3;</t>
  </si>
  <si>
    <t>N/A - run the SQL with spark.sql()</t>
  </si>
  <si>
    <t>Preview and run VACUUM</t>
  </si>
  <si>
    <t>VACUUM t DRY RUN;  then  VACUUM t;</t>
  </si>
  <si>
    <t>Compact small files</t>
  </si>
  <si>
    <t>OPTIMIZE t;</t>
  </si>
  <si>
    <t>Upsert a batch</t>
  </si>
  <si>
    <t>MERGE INTO t USING s ON t.id = s.id WHEN MATCHED THEN UPDATE SET * WHEN NOT MATCHED THEN INSERT *;</t>
  </si>
  <si>
    <t>foreachBatch(fn) with MERGE inside fn for a stream</t>
  </si>
  <si>
    <t>Load files idempotently</t>
  </si>
  <si>
    <t>COPY INTO t FROM '/Volumes/c/s/v/in' FILEFORMAT = CSV;</t>
  </si>
  <si>
    <t>spark.readStream.format("cloudFiles").option("cloudFiles.format", "csv")</t>
  </si>
  <si>
    <t>Read files without a table</t>
  </si>
  <si>
    <t>SELECT * FROM read_files('/Volumes/c/s/v/in', format =&gt; 'parquet');</t>
  </si>
  <si>
    <t>spark.read.format("parquet").load("/Volumes/c/s/v/in")</t>
  </si>
  <si>
    <t>Grant read on a schema</t>
  </si>
  <si>
    <t>GRANT USE CATALOG ON CATALOG c TO `analysts`; GRANT USE SCHEMA, SELECT ON SCHEMA c.s TO `analysts`;</t>
  </si>
  <si>
    <t>N/A - Catalog Explorer &gt; Permissions tab</t>
  </si>
  <si>
    <t>Check grants</t>
  </si>
  <si>
    <t>SHOW GRANTS ON TABLE c.s.t;</t>
  </si>
  <si>
    <t>Mask a column</t>
  </si>
  <si>
    <t>ALTER TABLE t ALTER COLUMN email SET MASK email_mask;</t>
  </si>
  <si>
    <t>N/A - SQL only</t>
  </si>
  <si>
    <t>Convert Parquet to Delta in place</t>
  </si>
  <si>
    <t>CONVERT TO DELTA parquet.`/path/to/table`;</t>
  </si>
  <si>
    <t>Deploy a bundle</t>
  </si>
  <si>
    <t>N/A - Databricks CLI</t>
  </si>
  <si>
    <t>databricks bundle validate; databricks bundle deploy -t dev; databricks bundle run &lt;job&gt;</t>
  </si>
  <si>
    <t>Concept</t>
  </si>
  <si>
    <t>Mental Model</t>
  </si>
  <si>
    <t>Parquet file</t>
  </si>
  <si>
    <t>A book whose table of contents is printed on the last page: you read the back first, then jump to the chapters you need.</t>
  </si>
  <si>
    <t>Row group</t>
  </si>
  <si>
    <t>A shelf of rows; each column of that shelf sits in its own box, so you can carry just one box.</t>
  </si>
  <si>
    <t>Delta transaction log</t>
  </si>
  <si>
    <t>The table's bank statement: data files are cash in a drawer, and only what the statement lists actually counts.</t>
  </si>
  <si>
    <t>Commit (version)</t>
  </si>
  <si>
    <t>One numbered line on that statement, added all at once or not at all.</t>
  </si>
  <si>
    <t>Tombstone</t>
  </si>
  <si>
    <t>A 'removed' note on a file that stays readable for a while so people mid-read aren't cut off.</t>
  </si>
  <si>
    <t>Checkpoint</t>
  </si>
  <si>
    <t>A running balance, so nobody has to add up every line since the account opened.</t>
  </si>
  <si>
    <t>Optimistic concurrency</t>
  </si>
  <si>
    <t>Everyone writes their draft at once; whoever submits second must check nothing they relied on has changed, or start again.</t>
  </si>
  <si>
    <t>Shredding old statements' cash receipts: past the retention date, those versions can never be shown again.</t>
  </si>
  <si>
    <t>Asking the statement what the balance was on a past date, as long as the receipts haven't been shredded.</t>
  </si>
  <si>
    <t>Liquid clustering</t>
  </si>
  <si>
    <t>A librarian who keeps re-shelving books by the subjects people search for, without moving the whole library at once.</t>
  </si>
  <si>
    <t>Deletion vector</t>
  </si>
  <si>
    <t>Crossing a line out in pencil instead of reprinting the page; the reprint happens later.</t>
  </si>
  <si>
    <t>Unity Catalog</t>
  </si>
  <si>
    <t>One security desk for every building on the campus: one badge, one log of who opened which door.</t>
  </si>
  <si>
    <t>External table</t>
  </si>
  <si>
    <t>A catalogue card for a book you keep at home: tear up the card and the book is still there.</t>
  </si>
  <si>
    <t>Auto Loader checkpoint</t>
  </si>
  <si>
    <t>A doorman's guest list: anyone already ticked off is not let in twice.</t>
  </si>
  <si>
    <t>Medallion architecture</t>
  </si>
  <si>
    <t>Ore, refined metal, finished jewellery: each stage is cleaner and closer to what the customer wants.</t>
  </si>
  <si>
    <t>Error Condition (SQLSTATE)</t>
  </si>
  <si>
    <t>What You See</t>
  </si>
  <si>
    <t>Likely Cause and Fix</t>
  </si>
  <si>
    <t>Taught In (#)</t>
  </si>
  <si>
    <t>TABLE_OR_VIEW_NOT_FOUND (42P01)</t>
  </si>
  <si>
    <t>The table or view can't be found</t>
  </si>
  <si>
    <t>Wrong name, wrong current schema, or no USE CATALOG/USE SCHEMA. Fix: Qualify catalog.schema.table; check grants.</t>
  </si>
  <si>
    <t>38, 95</t>
  </si>
  <si>
    <t>SCHEMA_NOT_FOUND (42704)</t>
  </si>
  <si>
    <t>The schema can't be found</t>
  </si>
  <si>
    <t>Wrong name or catalog. Fix: Qualify the name with its catalog.</t>
  </si>
  <si>
    <t>38</t>
  </si>
  <si>
    <t>UNRESOLVED_COLUMN (42703)</t>
  </si>
  <si>
    <t>A column or parameter can't be resolved</t>
  </si>
  <si>
    <t>Misspelt or missing column. Fix: Check the DataFrame's columns.</t>
  </si>
  <si>
    <t>55</t>
  </si>
  <si>
    <t>INSUFFICIENT_PERMISSIONS (42501)</t>
  </si>
  <si>
    <t>Insufficient privileges</t>
  </si>
  <si>
    <t>A missing privilege in the USE CATALOG + USE SCHEMA + object chain. Fix: Grant the missing privilege.</t>
  </si>
  <si>
    <t>42</t>
  </si>
  <si>
    <t>INSUFFICIENT_PERMISSIONS_EXT_LOC (42501)</t>
  </si>
  <si>
    <t>Insufficient privileges on an external location</t>
  </si>
  <si>
    <t>No privilege on the external location. Fix: Grant it on the external location.</t>
  </si>
  <si>
    <t>41</t>
  </si>
  <si>
    <t>CAST_INVALID_INPUT (22018)</t>
  </si>
  <si>
    <t>A malformed value can't be cast</t>
  </si>
  <si>
    <t>Bad source data. Fix: Fix the data or type; try_cast returns NULL.</t>
  </si>
  <si>
    <t>27</t>
  </si>
  <si>
    <t>DIVIDE_BY_ZERO (22012)</t>
  </si>
  <si>
    <t>Division by zero</t>
  </si>
  <si>
    <t>A zero divisor. Fix: try_divide returns NULL.</t>
  </si>
  <si>
    <t>DELTA_INSERT_COLUMN_ARITY_MISMATCH (42802)</t>
  </si>
  <si>
    <t>Target has N columns, the data has M</t>
  </si>
  <si>
    <t>Source and table schemas differ. Fix: Align columns or evolve the schema on purpose.</t>
  </si>
  <si>
    <t>27, 96</t>
  </si>
  <si>
    <t>DELTA_FAILED_TO_MERGE_FIELDS (22005)</t>
  </si>
  <si>
    <t>Two field definitions can't be merged</t>
  </si>
  <si>
    <t>Type conflict during schema merge. Fix: Cast the source or change the table.</t>
  </si>
  <si>
    <t>28, 96</t>
  </si>
  <si>
    <t>DELTA_MERGE_INCOMPATIBLE_DATATYPE (42K09)</t>
  </si>
  <si>
    <t>Incompatible data types can't be merged</t>
  </si>
  <si>
    <t>Type conflict. Fix: Cast the source or change the table.</t>
  </si>
  <si>
    <t>DELTA_MULTIPLE_SOURCE_ROW_MATCHING_TARGET_ROW_IN_MERGE (21506)</t>
  </si>
  <si>
    <t>Several source rows match one target row</t>
  </si>
  <si>
    <t>Duplicate keys in the MERGE source. Fix: Deduplicate the source first.</t>
  </si>
  <si>
    <t>29, 96</t>
  </si>
  <si>
    <t>DELTA_CANNOT_MODIFY_APPEND_ONLY (42809)</t>
  </si>
  <si>
    <t>The table only allows appends</t>
  </si>
  <si>
    <t>Table property set to append-only. Fix: Change it only if updates are really allowed.</t>
  </si>
  <si>
    <t>96</t>
  </si>
  <si>
    <t>DELTA_CONCURRENT_APPEND (2D521)</t>
  </si>
  <si>
    <t>A concurrent operation added conflicting data</t>
  </si>
  <si>
    <t>Two writers overlapping. Fix: Retry; reduce overlap.</t>
  </si>
  <si>
    <t>18, 97</t>
  </si>
  <si>
    <t>DELTA_CONCURRENT_DELETE_READ (2D521)</t>
  </si>
  <si>
    <t>Data this transaction read was deleted concurrently</t>
  </si>
  <si>
    <t>An overlapping delete. Fix: Retry.</t>
  </si>
  <si>
    <t>DELTA_CONCURRENT_WRITE (2D521)</t>
  </si>
  <si>
    <t>New data was written since this transaction read</t>
  </si>
  <si>
    <t>A concurrent write. Fix: Try the operation again.</t>
  </si>
  <si>
    <t>DELTA_CONCURRENT_TRANSACTION (2D521)</t>
  </si>
  <si>
    <t>Several streams use the same checkpoint</t>
  </si>
  <si>
    <t>A duplicate run of one streaming query. Fix: One checkpoint per query; stop the duplicate.</t>
  </si>
  <si>
    <t>65, 97</t>
  </si>
  <si>
    <t>DELTA_METADATA_CHANGED (2D521)</t>
  </si>
  <si>
    <t>Metadata changed by a concurrent update</t>
  </si>
  <si>
    <t>A schema or property change during writes. Fix: Retry; schedule changes away from writes.</t>
  </si>
  <si>
    <t>19, 97</t>
  </si>
  <si>
    <t>DELTA_PROTOCOL_CHANGED (2D521)</t>
  </si>
  <si>
    <t>Protocol changed by a concurrent update</t>
  </si>
  <si>
    <t>A feature enabled during writes. Fix: Retry.</t>
  </si>
  <si>
    <t>20, 97</t>
  </si>
  <si>
    <t>UNKNOWN_FIELD_EXCEPTION (KD003)</t>
  </si>
  <si>
    <t>New fields found while parsing</t>
  </si>
  <si>
    <t>Auto Loader addNewColumns met a new column. Fix: Let the job restart; it resumes with the new schema.</t>
  </si>
  <si>
    <t>64, 98</t>
  </si>
  <si>
    <t>CLOUD_FILE_SOURCE_FILE_NOT_FOUND (42K03)</t>
  </si>
  <si>
    <t>A notified file no longer exists</t>
  </si>
  <si>
    <t>File deleted before it was processed. Fix: Don't delete files before they are processed.</t>
  </si>
  <si>
    <t>63, 98</t>
  </si>
  <si>
    <t>DELTA_SCHEMA_CHANGED (KD007)</t>
  </si>
  <si>
    <t>The source schema changed under the stream</t>
  </si>
  <si>
    <t>A schema change on a streamed table. Fix: Restart; if it repeats, use a new checkpoint.</t>
  </si>
  <si>
    <t>65, 98</t>
  </si>
  <si>
    <t>DELTA_STREAMING_INCOMPATIBLE_SCHEMA_CHANGE (42KD4)</t>
  </si>
  <si>
    <t>Rename, drop or type change on a streamed table</t>
  </si>
  <si>
    <t>A read-incompatible schema change. Fix: Follow the linked doc, or use a schema tracking location.</t>
  </si>
  <si>
    <t>98</t>
  </si>
  <si>
    <t>DELTA_SOURCE_TABLE_IGNORE_CHANGES (0A000)</t>
  </si>
  <si>
    <t>An update or delete in a table read as a stream</t>
  </si>
  <si>
    <t>Streams expect append-only sources. Fix: skipChangeCommits, or a fresh checkpoint / full refresh.</t>
  </si>
  <si>
    <t>68, 98</t>
  </si>
  <si>
    <t>DELTA_FILE_NOT_FOUND_DETAILED (42K03)</t>
  </si>
  <si>
    <t>A file referenced in the log is missing</t>
  </si>
  <si>
    <t>Manual deletion, or VACUUM with too short a retention. Fix: Never delete table files directly; restart with a new checkpoint.</t>
  </si>
  <si>
    <t>25, 99</t>
  </si>
  <si>
    <t>DELTA_VACUUM_RETENTION_PERIOD_TOO_SHORT (22003)</t>
  </si>
  <si>
    <t>Retention below the safety threshold</t>
  </si>
  <si>
    <t>VACUUM with a short retention. Fix: Keep at least 7 days.</t>
  </si>
  <si>
    <t>25</t>
  </si>
  <si>
    <t>DELTA_CANNOT_VACUUM_LITE (55000)</t>
  </si>
  <si>
    <t>LITE can't find all files from the log</t>
  </si>
  <si>
    <t>Untracked files in the directory. Fix: Run VACUUM FULL.</t>
  </si>
  <si>
    <t>DELTA_TIMESTAMP_EARLIER_THAN_COMMIT_RETENTION (42816)</t>
  </si>
  <si>
    <t>Timestamp older than the earliest kept version</t>
  </si>
  <si>
    <t>History past log retention. Fix: Use a later timestamp; raise retention in advance.</t>
  </si>
  <si>
    <t>24, 99</t>
  </si>
  <si>
    <t>DELTA_CANNOT_RESTORE_TABLE_VERSION (22003)</t>
  </si>
  <si>
    <t>Version outside the available range</t>
  </si>
  <si>
    <t>Version expired or never existed. Fix: Choose a version in range.</t>
  </si>
  <si>
    <t>26</t>
  </si>
  <si>
    <t>DELTA_UNSUPPORTED_FEATURES_FOR_READ (56038)</t>
  </si>
  <si>
    <t>Table needs reader features this runtime lacks</t>
  </si>
  <si>
    <t>Feature enabled by a newer writer. Fix: Use a newer runtime or client.</t>
  </si>
  <si>
    <t>20</t>
  </si>
  <si>
    <t>FAILED_READ_FILE (KD001)</t>
  </si>
  <si>
    <t>Error reading a file</t>
  </si>
  <si>
    <t>A corrupt or unexpected file. Fix: Read the condition's details.</t>
  </si>
  <si>
    <t>99</t>
  </si>
  <si>
    <t>Event: compute plane network is misconfigured</t>
  </si>
  <si>
    <t>Node daemon ping timeout; cluster terminated</t>
  </si>
  <si>
    <t>Routing or firewall blocks the control plane. Fix: Test the path from a VM in the workspace subnet.</t>
  </si>
  <si>
    <t>101</t>
  </si>
  <si>
    <t>Event: METASTORE_DOWN</t>
  </si>
  <si>
    <t>The metastore is unreachable from compute</t>
  </si>
  <si>
    <t>A web application firewall or proxy in the path. Fix: Take the proxy out of the path.</t>
  </si>
  <si>
    <t>HTTP 403 Forbidden (serverless to storage)</t>
  </si>
  <si>
    <t>Serverless can't read a firewalled storage account</t>
  </si>
  <si>
    <t>Allow-listed serverless subnet IDs no longer work. Fix: Network security perimeter plus the AzureDatabricksServerless tag.</t>
  </si>
  <si>
    <t>85</t>
  </si>
  <si>
    <t>HTTP 429 Too Many Requests (jobs)</t>
  </si>
  <si>
    <t>Too many concurrent task runs</t>
  </si>
  <si>
    <t>Over 2,000 concurrent task runs in a workspace. Fix: Spread or reduce concurrent runs.</t>
  </si>
  <si>
    <t>75</t>
  </si>
  <si>
    <t>Out of memory after a stream restart</t>
  </si>
  <si>
    <t>The replanned micro-batch fails again</t>
  </si>
  <si>
    <t>The batch planned before the failure is too large. Fix: Scale up the compute to get past it.</t>
  </si>
  <si>
    <t>91, 98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</si>
</sst>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0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5" customWidth="1"/>
    <col min="3" max="3" width="30" customWidth="1"/>
    <col min="4" max="5" width="60" customWidth="1"/>
    <col min="6" max="7" width="10" customWidth="1"/>
    <col min="8" max="8" width="14" customWidth="1"/>
  </cols>
  <sheetData>
    <row r="1" spans="1:8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2" x14ac:dyDescent="0.35">
      <c r="A2" s="2" t="s">
        <v>8</v>
      </c>
      <c r="B2" s="2">
        <v>1</v>
      </c>
      <c r="C2" s="2" t="s">
        <v>9</v>
      </c>
      <c r="D2" s="2" t="s">
        <v>10</v>
      </c>
      <c r="E2" s="2" t="s">
        <v>11</v>
      </c>
      <c r="F2" s="2">
        <v>2</v>
      </c>
      <c r="G2" s="2">
        <v>1</v>
      </c>
      <c r="H2" s="2" t="s">
        <v>12</v>
      </c>
    </row>
    <row r="3" spans="1:8" ht="42" x14ac:dyDescent="0.35">
      <c r="A3" s="3" t="s">
        <v>8</v>
      </c>
      <c r="B3" s="3">
        <v>2</v>
      </c>
      <c r="C3" s="3" t="s">
        <v>13</v>
      </c>
      <c r="D3" s="3" t="s">
        <v>14</v>
      </c>
      <c r="E3" s="3" t="s">
        <v>15</v>
      </c>
      <c r="F3" s="3">
        <v>3</v>
      </c>
      <c r="G3" s="3">
        <v>1</v>
      </c>
      <c r="H3" s="3" t="s">
        <v>16</v>
      </c>
    </row>
    <row r="4" spans="1:8" ht="42" x14ac:dyDescent="0.35">
      <c r="A4" s="2" t="s">
        <v>8</v>
      </c>
      <c r="B4" s="2">
        <v>3</v>
      </c>
      <c r="C4" s="2" t="s">
        <v>17</v>
      </c>
      <c r="D4" s="2" t="s">
        <v>18</v>
      </c>
      <c r="E4" s="2" t="s">
        <v>19</v>
      </c>
      <c r="F4" s="2">
        <v>2</v>
      </c>
      <c r="G4" s="2">
        <v>1</v>
      </c>
      <c r="H4" s="2" t="s">
        <v>20</v>
      </c>
    </row>
    <row r="5" spans="1:8" ht="42" x14ac:dyDescent="0.35">
      <c r="A5" s="3" t="s">
        <v>8</v>
      </c>
      <c r="B5" s="3">
        <v>4</v>
      </c>
      <c r="C5" s="3" t="s">
        <v>21</v>
      </c>
      <c r="D5" s="3" t="s">
        <v>22</v>
      </c>
      <c r="E5" s="3" t="s">
        <v>23</v>
      </c>
      <c r="F5" s="3">
        <v>1</v>
      </c>
      <c r="G5" s="3">
        <v>1</v>
      </c>
      <c r="H5" s="3" t="s">
        <v>24</v>
      </c>
    </row>
    <row r="6" spans="1:8" ht="56" x14ac:dyDescent="0.35">
      <c r="A6" s="2" t="s">
        <v>8</v>
      </c>
      <c r="B6" s="2">
        <v>5</v>
      </c>
      <c r="C6" s="2" t="s">
        <v>25</v>
      </c>
      <c r="D6" s="2" t="s">
        <v>26</v>
      </c>
      <c r="E6" s="2" t="s">
        <v>27</v>
      </c>
      <c r="F6" s="2">
        <v>1</v>
      </c>
      <c r="G6" s="2">
        <v>1</v>
      </c>
      <c r="H6" s="2" t="s">
        <v>28</v>
      </c>
    </row>
    <row r="7" spans="1:8" ht="42" x14ac:dyDescent="0.35">
      <c r="A7" s="3" t="s">
        <v>8</v>
      </c>
      <c r="B7" s="3">
        <v>6</v>
      </c>
      <c r="C7" s="3" t="s">
        <v>29</v>
      </c>
      <c r="D7" s="3" t="s">
        <v>30</v>
      </c>
      <c r="E7" s="3" t="s">
        <v>31</v>
      </c>
      <c r="F7" s="3">
        <v>2</v>
      </c>
      <c r="G7" s="3">
        <v>1</v>
      </c>
      <c r="H7" s="3" t="s">
        <v>32</v>
      </c>
    </row>
    <row r="8" spans="1:8" ht="28" x14ac:dyDescent="0.35">
      <c r="A8" s="2" t="s">
        <v>33</v>
      </c>
      <c r="B8" s="2">
        <v>7</v>
      </c>
      <c r="C8" s="2" t="s">
        <v>34</v>
      </c>
      <c r="D8" s="2" t="s">
        <v>35</v>
      </c>
      <c r="E8" s="2" t="s">
        <v>36</v>
      </c>
      <c r="F8" s="2">
        <v>2</v>
      </c>
      <c r="G8" s="2">
        <v>2</v>
      </c>
      <c r="H8" s="2" t="s">
        <v>37</v>
      </c>
    </row>
    <row r="9" spans="1:8" ht="42" x14ac:dyDescent="0.35">
      <c r="A9" s="3" t="s">
        <v>33</v>
      </c>
      <c r="B9" s="3">
        <v>8</v>
      </c>
      <c r="C9" s="3" t="s">
        <v>38</v>
      </c>
      <c r="D9" s="3" t="s">
        <v>39</v>
      </c>
      <c r="E9" s="3" t="s">
        <v>40</v>
      </c>
      <c r="F9" s="3">
        <v>3</v>
      </c>
      <c r="G9" s="3">
        <v>2</v>
      </c>
      <c r="H9" s="3" t="s">
        <v>41</v>
      </c>
    </row>
    <row r="10" spans="1:8" ht="28" x14ac:dyDescent="0.35">
      <c r="A10" s="2" t="s">
        <v>33</v>
      </c>
      <c r="B10" s="2">
        <v>9</v>
      </c>
      <c r="C10" s="2" t="s">
        <v>42</v>
      </c>
      <c r="D10" s="2" t="s">
        <v>43</v>
      </c>
      <c r="E10" s="2" t="s">
        <v>44</v>
      </c>
      <c r="F10" s="2">
        <v>3</v>
      </c>
      <c r="G10" s="2">
        <v>2</v>
      </c>
      <c r="H10" s="2" t="s">
        <v>45</v>
      </c>
    </row>
    <row r="11" spans="1:8" ht="42" x14ac:dyDescent="0.35">
      <c r="A11" s="3" t="s">
        <v>33</v>
      </c>
      <c r="B11" s="3">
        <v>10</v>
      </c>
      <c r="C11" s="3" t="s">
        <v>46</v>
      </c>
      <c r="D11" s="3" t="s">
        <v>47</v>
      </c>
      <c r="E11" s="3" t="s">
        <v>48</v>
      </c>
      <c r="F11" s="3">
        <v>3</v>
      </c>
      <c r="G11" s="3">
        <v>2</v>
      </c>
      <c r="H11" s="3" t="s">
        <v>49</v>
      </c>
    </row>
    <row r="12" spans="1:8" ht="42" x14ac:dyDescent="0.35">
      <c r="A12" s="2" t="s">
        <v>33</v>
      </c>
      <c r="B12" s="2">
        <v>11</v>
      </c>
      <c r="C12" s="2" t="s">
        <v>50</v>
      </c>
      <c r="D12" s="2" t="s">
        <v>51</v>
      </c>
      <c r="E12" s="2" t="s">
        <v>52</v>
      </c>
      <c r="F12" s="2">
        <v>2</v>
      </c>
      <c r="G12" s="2">
        <v>2</v>
      </c>
      <c r="H12" s="2" t="s">
        <v>53</v>
      </c>
    </row>
    <row r="13" spans="1:8" ht="42" x14ac:dyDescent="0.35">
      <c r="A13" s="3" t="s">
        <v>33</v>
      </c>
      <c r="B13" s="3">
        <v>12</v>
      </c>
      <c r="C13" s="3" t="s">
        <v>54</v>
      </c>
      <c r="D13" s="3" t="s">
        <v>55</v>
      </c>
      <c r="E13" s="3" t="s">
        <v>56</v>
      </c>
      <c r="F13" s="3">
        <v>2</v>
      </c>
      <c r="G13" s="3">
        <v>2</v>
      </c>
      <c r="H13" s="3" t="s">
        <v>53</v>
      </c>
    </row>
    <row r="14" spans="1:8" ht="42" x14ac:dyDescent="0.35">
      <c r="A14" s="2" t="s">
        <v>57</v>
      </c>
      <c r="B14" s="2">
        <v>13</v>
      </c>
      <c r="C14" s="2" t="s">
        <v>58</v>
      </c>
      <c r="D14" s="2" t="s">
        <v>59</v>
      </c>
      <c r="E14" s="2" t="s">
        <v>60</v>
      </c>
      <c r="F14" s="2">
        <v>2</v>
      </c>
      <c r="G14" s="2">
        <v>3</v>
      </c>
      <c r="H14" s="2" t="s">
        <v>61</v>
      </c>
    </row>
    <row r="15" spans="1:8" ht="42" x14ac:dyDescent="0.35">
      <c r="A15" s="3" t="s">
        <v>57</v>
      </c>
      <c r="B15" s="3">
        <v>14</v>
      </c>
      <c r="C15" s="3" t="s">
        <v>62</v>
      </c>
      <c r="D15" s="3" t="s">
        <v>63</v>
      </c>
      <c r="E15" s="3" t="s">
        <v>64</v>
      </c>
      <c r="F15" s="3">
        <v>3</v>
      </c>
      <c r="G15" s="3">
        <v>3</v>
      </c>
      <c r="H15" s="3" t="s">
        <v>61</v>
      </c>
    </row>
    <row r="16" spans="1:8" ht="42" x14ac:dyDescent="0.35">
      <c r="A16" s="2" t="s">
        <v>57</v>
      </c>
      <c r="B16" s="2">
        <v>15</v>
      </c>
      <c r="C16" s="2" t="s">
        <v>65</v>
      </c>
      <c r="D16" s="2" t="s">
        <v>66</v>
      </c>
      <c r="E16" s="2" t="s">
        <v>67</v>
      </c>
      <c r="F16" s="2">
        <v>3</v>
      </c>
      <c r="G16" s="2">
        <v>3</v>
      </c>
      <c r="H16" s="2" t="s">
        <v>68</v>
      </c>
    </row>
    <row r="17" spans="1:8" ht="28" x14ac:dyDescent="0.35">
      <c r="A17" s="3" t="s">
        <v>57</v>
      </c>
      <c r="B17" s="3">
        <v>16</v>
      </c>
      <c r="C17" s="3" t="s">
        <v>69</v>
      </c>
      <c r="D17" s="3" t="s">
        <v>70</v>
      </c>
      <c r="E17" s="3" t="s">
        <v>71</v>
      </c>
      <c r="F17" s="3">
        <v>3</v>
      </c>
      <c r="G17" s="3">
        <v>3</v>
      </c>
      <c r="H17" s="3" t="s">
        <v>72</v>
      </c>
    </row>
    <row r="18" spans="1:8" ht="42" x14ac:dyDescent="0.35">
      <c r="A18" s="2" t="s">
        <v>57</v>
      </c>
      <c r="B18" s="2">
        <v>17</v>
      </c>
      <c r="C18" s="2" t="s">
        <v>73</v>
      </c>
      <c r="D18" s="2" t="s">
        <v>74</v>
      </c>
      <c r="E18" s="2" t="s">
        <v>75</v>
      </c>
      <c r="F18" s="2">
        <v>3</v>
      </c>
      <c r="G18" s="2">
        <v>3</v>
      </c>
      <c r="H18" s="2" t="s">
        <v>76</v>
      </c>
    </row>
    <row r="19" spans="1:8" ht="42" x14ac:dyDescent="0.35">
      <c r="A19" s="3" t="s">
        <v>57</v>
      </c>
      <c r="B19" s="3">
        <v>18</v>
      </c>
      <c r="C19" s="3" t="s">
        <v>77</v>
      </c>
      <c r="D19" s="3" t="s">
        <v>78</v>
      </c>
      <c r="E19" s="3" t="s">
        <v>79</v>
      </c>
      <c r="F19" s="3">
        <v>4</v>
      </c>
      <c r="G19" s="3">
        <v>3</v>
      </c>
      <c r="H19" s="3" t="s">
        <v>68</v>
      </c>
    </row>
    <row r="20" spans="1:8" ht="42" x14ac:dyDescent="0.35">
      <c r="A20" s="2" t="s">
        <v>57</v>
      </c>
      <c r="B20" s="2">
        <v>19</v>
      </c>
      <c r="C20" s="2" t="s">
        <v>80</v>
      </c>
      <c r="D20" s="2" t="s">
        <v>81</v>
      </c>
      <c r="E20" s="2" t="s">
        <v>82</v>
      </c>
      <c r="F20" s="2">
        <v>3</v>
      </c>
      <c r="G20" s="2">
        <v>3</v>
      </c>
      <c r="H20" s="2" t="s">
        <v>68</v>
      </c>
    </row>
    <row r="21" spans="1:8" ht="42" x14ac:dyDescent="0.35">
      <c r="A21" s="3" t="s">
        <v>57</v>
      </c>
      <c r="B21" s="3">
        <v>20</v>
      </c>
      <c r="C21" s="3" t="s">
        <v>83</v>
      </c>
      <c r="D21" s="3" t="s">
        <v>84</v>
      </c>
      <c r="E21" s="3" t="s">
        <v>85</v>
      </c>
      <c r="F21" s="3">
        <v>2</v>
      </c>
      <c r="G21" s="3">
        <v>3</v>
      </c>
      <c r="H21" s="3" t="s">
        <v>86</v>
      </c>
    </row>
    <row r="22" spans="1:8" ht="28" x14ac:dyDescent="0.35">
      <c r="A22" s="2" t="s">
        <v>57</v>
      </c>
      <c r="B22" s="2">
        <v>21</v>
      </c>
      <c r="C22" s="2" t="s">
        <v>87</v>
      </c>
      <c r="D22" s="2" t="s">
        <v>88</v>
      </c>
      <c r="E22" s="2" t="s">
        <v>89</v>
      </c>
      <c r="F22" s="2">
        <v>2</v>
      </c>
      <c r="G22" s="2">
        <v>3</v>
      </c>
      <c r="H22" s="2" t="s">
        <v>90</v>
      </c>
    </row>
    <row r="23" spans="1:8" ht="28" x14ac:dyDescent="0.35">
      <c r="A23" s="3" t="s">
        <v>91</v>
      </c>
      <c r="B23" s="3">
        <v>22</v>
      </c>
      <c r="C23" s="3" t="s">
        <v>92</v>
      </c>
      <c r="D23" s="3" t="s">
        <v>93</v>
      </c>
      <c r="E23" s="3" t="s">
        <v>94</v>
      </c>
      <c r="F23" s="3">
        <v>1</v>
      </c>
      <c r="G23" s="3">
        <v>4</v>
      </c>
      <c r="H23" s="3" t="s">
        <v>95</v>
      </c>
    </row>
    <row r="24" spans="1:8" ht="28" x14ac:dyDescent="0.35">
      <c r="A24" s="2" t="s">
        <v>91</v>
      </c>
      <c r="B24" s="2">
        <v>23</v>
      </c>
      <c r="C24" s="2" t="s">
        <v>96</v>
      </c>
      <c r="D24" s="2" t="s">
        <v>97</v>
      </c>
      <c r="E24" s="2" t="s">
        <v>98</v>
      </c>
      <c r="F24" s="2">
        <v>2</v>
      </c>
      <c r="G24" s="2">
        <v>4</v>
      </c>
      <c r="H24" s="2" t="s">
        <v>95</v>
      </c>
    </row>
    <row r="25" spans="1:8" ht="42" x14ac:dyDescent="0.35">
      <c r="A25" s="3" t="s">
        <v>91</v>
      </c>
      <c r="B25" s="3">
        <v>24</v>
      </c>
      <c r="C25" s="3" t="s">
        <v>99</v>
      </c>
      <c r="D25" s="3" t="s">
        <v>100</v>
      </c>
      <c r="E25" s="3" t="s">
        <v>101</v>
      </c>
      <c r="F25" s="3">
        <v>2</v>
      </c>
      <c r="G25" s="3">
        <v>4</v>
      </c>
      <c r="H25" s="3" t="s">
        <v>95</v>
      </c>
    </row>
    <row r="26" spans="1:8" ht="42" x14ac:dyDescent="0.35">
      <c r="A26" s="2" t="s">
        <v>91</v>
      </c>
      <c r="B26" s="2">
        <v>25</v>
      </c>
      <c r="C26" s="2" t="s">
        <v>102</v>
      </c>
      <c r="D26" s="2" t="s">
        <v>103</v>
      </c>
      <c r="E26" s="2" t="s">
        <v>104</v>
      </c>
      <c r="F26" s="2">
        <v>2</v>
      </c>
      <c r="G26" s="2">
        <v>4</v>
      </c>
      <c r="H26" s="2" t="s">
        <v>105</v>
      </c>
    </row>
    <row r="27" spans="1:8" ht="42" x14ac:dyDescent="0.35">
      <c r="A27" s="3" t="s">
        <v>91</v>
      </c>
      <c r="B27" s="3">
        <v>26</v>
      </c>
      <c r="C27" s="3" t="s">
        <v>106</v>
      </c>
      <c r="D27" s="3" t="s">
        <v>107</v>
      </c>
      <c r="E27" s="3" t="s">
        <v>108</v>
      </c>
      <c r="F27" s="3">
        <v>2</v>
      </c>
      <c r="G27" s="3">
        <v>4</v>
      </c>
      <c r="H27" s="3" t="s">
        <v>95</v>
      </c>
    </row>
    <row r="28" spans="1:8" ht="28" x14ac:dyDescent="0.35">
      <c r="A28" s="2" t="s">
        <v>91</v>
      </c>
      <c r="B28" s="2">
        <v>27</v>
      </c>
      <c r="C28" s="2" t="s">
        <v>109</v>
      </c>
      <c r="D28" s="2" t="s">
        <v>110</v>
      </c>
      <c r="E28" s="2" t="s">
        <v>111</v>
      </c>
      <c r="F28" s="2">
        <v>2</v>
      </c>
      <c r="G28" s="2">
        <v>5</v>
      </c>
      <c r="H28" s="2" t="s">
        <v>112</v>
      </c>
    </row>
    <row r="29" spans="1:8" ht="42" x14ac:dyDescent="0.35">
      <c r="A29" s="3" t="s">
        <v>91</v>
      </c>
      <c r="B29" s="3">
        <v>28</v>
      </c>
      <c r="C29" s="3" t="s">
        <v>113</v>
      </c>
      <c r="D29" s="3" t="s">
        <v>114</v>
      </c>
      <c r="E29" s="3" t="s">
        <v>115</v>
      </c>
      <c r="F29" s="3">
        <v>2</v>
      </c>
      <c r="G29" s="3">
        <v>5</v>
      </c>
      <c r="H29" s="3" t="s">
        <v>112</v>
      </c>
    </row>
    <row r="30" spans="1:8" ht="28" x14ac:dyDescent="0.35">
      <c r="A30" s="2" t="s">
        <v>91</v>
      </c>
      <c r="B30" s="2">
        <v>29</v>
      </c>
      <c r="C30" s="2" t="s">
        <v>116</v>
      </c>
      <c r="D30" s="2" t="s">
        <v>117</v>
      </c>
      <c r="E30" s="2" t="s">
        <v>118</v>
      </c>
      <c r="F30" s="2">
        <v>4</v>
      </c>
      <c r="G30" s="2">
        <v>6</v>
      </c>
      <c r="H30" s="2" t="s">
        <v>119</v>
      </c>
    </row>
    <row r="31" spans="1:8" ht="28" x14ac:dyDescent="0.35">
      <c r="A31" s="3" t="s">
        <v>91</v>
      </c>
      <c r="B31" s="3">
        <v>30</v>
      </c>
      <c r="C31" s="3" t="s">
        <v>120</v>
      </c>
      <c r="D31" s="3" t="s">
        <v>121</v>
      </c>
      <c r="E31" s="3" t="s">
        <v>122</v>
      </c>
      <c r="F31" s="3">
        <v>3</v>
      </c>
      <c r="G31" s="3">
        <v>6</v>
      </c>
      <c r="H31" s="3" t="s">
        <v>123</v>
      </c>
    </row>
    <row r="32" spans="1:8" ht="28" x14ac:dyDescent="0.35">
      <c r="A32" s="2" t="s">
        <v>124</v>
      </c>
      <c r="B32" s="2">
        <v>31</v>
      </c>
      <c r="C32" s="2" t="s">
        <v>125</v>
      </c>
      <c r="D32" s="2" t="s">
        <v>126</v>
      </c>
      <c r="E32" s="2" t="s">
        <v>127</v>
      </c>
      <c r="F32" s="2">
        <v>2</v>
      </c>
      <c r="G32" s="2">
        <v>7</v>
      </c>
      <c r="H32" s="2" t="s">
        <v>128</v>
      </c>
    </row>
    <row r="33" spans="1:8" ht="28" x14ac:dyDescent="0.35">
      <c r="A33" s="3" t="s">
        <v>124</v>
      </c>
      <c r="B33" s="3">
        <v>32</v>
      </c>
      <c r="C33" s="3" t="s">
        <v>129</v>
      </c>
      <c r="D33" s="3" t="s">
        <v>130</v>
      </c>
      <c r="E33" s="3" t="s">
        <v>131</v>
      </c>
      <c r="F33" s="3">
        <v>2</v>
      </c>
      <c r="G33" s="3">
        <v>7</v>
      </c>
      <c r="H33" s="3" t="s">
        <v>132</v>
      </c>
    </row>
    <row r="34" spans="1:8" ht="28" x14ac:dyDescent="0.35">
      <c r="A34" s="2" t="s">
        <v>124</v>
      </c>
      <c r="B34" s="2">
        <v>33</v>
      </c>
      <c r="C34" s="2" t="s">
        <v>133</v>
      </c>
      <c r="D34" s="2" t="s">
        <v>134</v>
      </c>
      <c r="E34" s="2" t="s">
        <v>135</v>
      </c>
      <c r="F34" s="2">
        <v>2</v>
      </c>
      <c r="G34" s="2">
        <v>7</v>
      </c>
      <c r="H34" s="2" t="s">
        <v>132</v>
      </c>
    </row>
    <row r="35" spans="1:8" ht="42" x14ac:dyDescent="0.35">
      <c r="A35" s="3" t="s">
        <v>124</v>
      </c>
      <c r="B35" s="3">
        <v>34</v>
      </c>
      <c r="C35" s="3" t="s">
        <v>136</v>
      </c>
      <c r="D35" s="3" t="s">
        <v>137</v>
      </c>
      <c r="E35" s="3" t="s">
        <v>138</v>
      </c>
      <c r="F35" s="3">
        <v>3</v>
      </c>
      <c r="G35" s="3">
        <v>7</v>
      </c>
      <c r="H35" s="3" t="s">
        <v>132</v>
      </c>
    </row>
    <row r="36" spans="1:8" ht="28" x14ac:dyDescent="0.35">
      <c r="A36" s="2" t="s">
        <v>124</v>
      </c>
      <c r="B36" s="2">
        <v>35</v>
      </c>
      <c r="C36" s="2" t="s">
        <v>139</v>
      </c>
      <c r="D36" s="2" t="s">
        <v>140</v>
      </c>
      <c r="E36" s="2" t="s">
        <v>141</v>
      </c>
      <c r="F36" s="2">
        <v>2</v>
      </c>
      <c r="G36" s="2">
        <v>7</v>
      </c>
      <c r="H36" s="2" t="s">
        <v>132</v>
      </c>
    </row>
    <row r="37" spans="1:8" ht="42" x14ac:dyDescent="0.35">
      <c r="A37" s="3" t="s">
        <v>124</v>
      </c>
      <c r="B37" s="3">
        <v>36</v>
      </c>
      <c r="C37" s="3" t="s">
        <v>142</v>
      </c>
      <c r="D37" s="3" t="s">
        <v>143</v>
      </c>
      <c r="E37" s="3" t="s">
        <v>144</v>
      </c>
      <c r="F37" s="3">
        <v>1</v>
      </c>
      <c r="G37" s="3">
        <v>7</v>
      </c>
      <c r="H37" s="3" t="s">
        <v>145</v>
      </c>
    </row>
    <row r="38" spans="1:8" ht="42" x14ac:dyDescent="0.35">
      <c r="A38" s="2" t="s">
        <v>124</v>
      </c>
      <c r="B38" s="2">
        <v>37</v>
      </c>
      <c r="C38" s="2" t="s">
        <v>146</v>
      </c>
      <c r="D38" s="2" t="s">
        <v>147</v>
      </c>
      <c r="E38" s="2" t="s">
        <v>148</v>
      </c>
      <c r="F38" s="2">
        <v>2</v>
      </c>
      <c r="G38" s="2">
        <v>7</v>
      </c>
      <c r="H38" s="2" t="s">
        <v>149</v>
      </c>
    </row>
    <row r="39" spans="1:8" ht="42" x14ac:dyDescent="0.35">
      <c r="A39" s="3" t="s">
        <v>150</v>
      </c>
      <c r="B39" s="3">
        <v>38</v>
      </c>
      <c r="C39" s="3" t="s">
        <v>151</v>
      </c>
      <c r="D39" s="3" t="s">
        <v>152</v>
      </c>
      <c r="E39" s="3" t="s">
        <v>153</v>
      </c>
      <c r="F39" s="3">
        <v>2</v>
      </c>
      <c r="G39" s="3">
        <v>8</v>
      </c>
      <c r="H39" s="3" t="s">
        <v>24</v>
      </c>
    </row>
    <row r="40" spans="1:8" ht="28" x14ac:dyDescent="0.35">
      <c r="A40" s="2" t="s">
        <v>150</v>
      </c>
      <c r="B40" s="2">
        <v>39</v>
      </c>
      <c r="C40" s="2" t="s">
        <v>154</v>
      </c>
      <c r="D40" s="2" t="s">
        <v>155</v>
      </c>
      <c r="E40" s="2" t="s">
        <v>156</v>
      </c>
      <c r="F40" s="2">
        <v>3</v>
      </c>
      <c r="G40" s="2">
        <v>9</v>
      </c>
      <c r="H40" s="2" t="s">
        <v>157</v>
      </c>
    </row>
    <row r="41" spans="1:8" ht="28" x14ac:dyDescent="0.35">
      <c r="A41" s="3" t="s">
        <v>150</v>
      </c>
      <c r="B41" s="3">
        <v>40</v>
      </c>
      <c r="C41" s="3" t="s">
        <v>158</v>
      </c>
      <c r="D41" s="3" t="s">
        <v>159</v>
      </c>
      <c r="E41" s="3" t="s">
        <v>160</v>
      </c>
      <c r="F41" s="3">
        <v>1</v>
      </c>
      <c r="G41" s="3">
        <v>9</v>
      </c>
      <c r="H41" s="3" t="s">
        <v>161</v>
      </c>
    </row>
    <row r="42" spans="1:8" ht="42" x14ac:dyDescent="0.35">
      <c r="A42" s="2" t="s">
        <v>150</v>
      </c>
      <c r="B42" s="2">
        <v>41</v>
      </c>
      <c r="C42" s="2" t="s">
        <v>162</v>
      </c>
      <c r="D42" s="2" t="s">
        <v>163</v>
      </c>
      <c r="E42" s="2" t="s">
        <v>164</v>
      </c>
      <c r="F42" s="2">
        <v>3</v>
      </c>
      <c r="G42" s="2">
        <v>9</v>
      </c>
      <c r="H42" s="2" t="s">
        <v>165</v>
      </c>
    </row>
    <row r="43" spans="1:8" ht="42" x14ac:dyDescent="0.35">
      <c r="A43" s="3" t="s">
        <v>150</v>
      </c>
      <c r="B43" s="3">
        <v>42</v>
      </c>
      <c r="C43" s="3" t="s">
        <v>166</v>
      </c>
      <c r="D43" s="3" t="s">
        <v>167</v>
      </c>
      <c r="E43" s="3" t="s">
        <v>168</v>
      </c>
      <c r="F43" s="3">
        <v>3</v>
      </c>
      <c r="G43" s="3">
        <v>10</v>
      </c>
      <c r="H43" s="3" t="s">
        <v>169</v>
      </c>
    </row>
    <row r="44" spans="1:8" ht="42" x14ac:dyDescent="0.35">
      <c r="A44" s="2" t="s">
        <v>150</v>
      </c>
      <c r="B44" s="2">
        <v>43</v>
      </c>
      <c r="C44" s="2" t="s">
        <v>170</v>
      </c>
      <c r="D44" s="2" t="s">
        <v>171</v>
      </c>
      <c r="E44" s="2" t="s">
        <v>172</v>
      </c>
      <c r="F44" s="2">
        <v>1</v>
      </c>
      <c r="G44" s="2">
        <v>10</v>
      </c>
      <c r="H44" s="2" t="s">
        <v>173</v>
      </c>
    </row>
    <row r="45" spans="1:8" ht="28" x14ac:dyDescent="0.35">
      <c r="A45" s="3" t="s">
        <v>150</v>
      </c>
      <c r="B45" s="3">
        <v>44</v>
      </c>
      <c r="C45" s="3" t="s">
        <v>174</v>
      </c>
      <c r="D45" s="3" t="s">
        <v>175</v>
      </c>
      <c r="E45" s="3" t="s">
        <v>176</v>
      </c>
      <c r="F45" s="3">
        <v>3</v>
      </c>
      <c r="G45" s="3">
        <v>10</v>
      </c>
      <c r="H45" s="3" t="s">
        <v>177</v>
      </c>
    </row>
    <row r="46" spans="1:8" ht="28" x14ac:dyDescent="0.35">
      <c r="A46" s="2" t="s">
        <v>150</v>
      </c>
      <c r="B46" s="2">
        <v>45</v>
      </c>
      <c r="C46" s="2" t="s">
        <v>178</v>
      </c>
      <c r="D46" s="2" t="s">
        <v>179</v>
      </c>
      <c r="E46" s="2" t="s">
        <v>180</v>
      </c>
      <c r="F46" s="2">
        <v>2</v>
      </c>
      <c r="G46" s="2">
        <v>10</v>
      </c>
      <c r="H46" s="2" t="s">
        <v>177</v>
      </c>
    </row>
    <row r="47" spans="1:8" ht="28" x14ac:dyDescent="0.35">
      <c r="A47" s="3" t="s">
        <v>150</v>
      </c>
      <c r="B47" s="3">
        <v>46</v>
      </c>
      <c r="C47" s="3" t="s">
        <v>181</v>
      </c>
      <c r="D47" s="3" t="s">
        <v>182</v>
      </c>
      <c r="E47" s="3" t="s">
        <v>183</v>
      </c>
      <c r="F47" s="3">
        <v>2</v>
      </c>
      <c r="G47" s="3">
        <v>10</v>
      </c>
      <c r="H47" s="3" t="s">
        <v>184</v>
      </c>
    </row>
    <row r="48" spans="1:8" ht="28" x14ac:dyDescent="0.35">
      <c r="A48" s="2" t="s">
        <v>185</v>
      </c>
      <c r="B48" s="2">
        <v>47</v>
      </c>
      <c r="C48" s="2" t="s">
        <v>186</v>
      </c>
      <c r="D48" s="2" t="s">
        <v>187</v>
      </c>
      <c r="E48" s="2" t="s">
        <v>188</v>
      </c>
      <c r="F48" s="2">
        <v>2</v>
      </c>
      <c r="G48" s="2">
        <v>11</v>
      </c>
      <c r="H48" s="2" t="s">
        <v>189</v>
      </c>
    </row>
    <row r="49" spans="1:8" ht="28" x14ac:dyDescent="0.35">
      <c r="A49" s="3" t="s">
        <v>185</v>
      </c>
      <c r="B49" s="3">
        <v>48</v>
      </c>
      <c r="C49" s="3" t="s">
        <v>190</v>
      </c>
      <c r="D49" s="3" t="s">
        <v>191</v>
      </c>
      <c r="E49" s="3" t="s">
        <v>192</v>
      </c>
      <c r="F49" s="3">
        <v>1</v>
      </c>
      <c r="G49" s="3">
        <v>11</v>
      </c>
      <c r="H49" s="3" t="s">
        <v>189</v>
      </c>
    </row>
    <row r="50" spans="1:8" ht="28" x14ac:dyDescent="0.35">
      <c r="A50" s="2" t="s">
        <v>185</v>
      </c>
      <c r="B50" s="2">
        <v>49</v>
      </c>
      <c r="C50" s="2" t="s">
        <v>193</v>
      </c>
      <c r="D50" s="2" t="s">
        <v>194</v>
      </c>
      <c r="E50" s="2" t="s">
        <v>195</v>
      </c>
      <c r="F50" s="2">
        <v>1</v>
      </c>
      <c r="G50" s="2">
        <v>11</v>
      </c>
      <c r="H50" s="2" t="s">
        <v>189</v>
      </c>
    </row>
    <row r="51" spans="1:8" ht="28" x14ac:dyDescent="0.35">
      <c r="A51" s="3" t="s">
        <v>185</v>
      </c>
      <c r="B51" s="3">
        <v>50</v>
      </c>
      <c r="C51" s="3" t="s">
        <v>196</v>
      </c>
      <c r="D51" s="3" t="s">
        <v>197</v>
      </c>
      <c r="E51" s="3" t="s">
        <v>198</v>
      </c>
      <c r="F51" s="3">
        <v>1</v>
      </c>
      <c r="G51" s="3">
        <v>11</v>
      </c>
      <c r="H51" s="3" t="s">
        <v>189</v>
      </c>
    </row>
    <row r="52" spans="1:8" ht="42" x14ac:dyDescent="0.35">
      <c r="A52" s="2" t="s">
        <v>185</v>
      </c>
      <c r="B52" s="2">
        <v>51</v>
      </c>
      <c r="C52" s="2" t="s">
        <v>199</v>
      </c>
      <c r="D52" s="2" t="s">
        <v>200</v>
      </c>
      <c r="E52" s="2" t="s">
        <v>201</v>
      </c>
      <c r="F52" s="2">
        <v>2</v>
      </c>
      <c r="G52" s="2">
        <v>11</v>
      </c>
      <c r="H52" s="2" t="s">
        <v>189</v>
      </c>
    </row>
    <row r="53" spans="1:8" ht="42" x14ac:dyDescent="0.35">
      <c r="A53" s="3" t="s">
        <v>185</v>
      </c>
      <c r="B53" s="3">
        <v>52</v>
      </c>
      <c r="C53" s="3" t="s">
        <v>202</v>
      </c>
      <c r="D53" s="3" t="s">
        <v>203</v>
      </c>
      <c r="E53" s="3" t="s">
        <v>204</v>
      </c>
      <c r="F53" s="3">
        <v>2</v>
      </c>
      <c r="G53" s="3">
        <v>11</v>
      </c>
      <c r="H53" s="3" t="s">
        <v>189</v>
      </c>
    </row>
    <row r="54" spans="1:8" ht="42" x14ac:dyDescent="0.35">
      <c r="A54" s="2" t="s">
        <v>185</v>
      </c>
      <c r="B54" s="2">
        <v>53</v>
      </c>
      <c r="C54" s="2" t="s">
        <v>205</v>
      </c>
      <c r="D54" s="2" t="s">
        <v>206</v>
      </c>
      <c r="E54" s="2" t="s">
        <v>207</v>
      </c>
      <c r="F54" s="2">
        <v>2</v>
      </c>
      <c r="G54" s="2">
        <v>11</v>
      </c>
      <c r="H54" s="2" t="s">
        <v>189</v>
      </c>
    </row>
    <row r="55" spans="1:8" ht="28" x14ac:dyDescent="0.35">
      <c r="A55" s="3" t="s">
        <v>208</v>
      </c>
      <c r="B55" s="3">
        <v>54</v>
      </c>
      <c r="C55" s="3" t="s">
        <v>209</v>
      </c>
      <c r="D55" s="3" t="s">
        <v>210</v>
      </c>
      <c r="E55" s="3" t="s">
        <v>211</v>
      </c>
      <c r="F55" s="3">
        <v>3</v>
      </c>
      <c r="G55" s="3">
        <v>12</v>
      </c>
      <c r="H55" s="3" t="s">
        <v>212</v>
      </c>
    </row>
    <row r="56" spans="1:8" ht="28" x14ac:dyDescent="0.35">
      <c r="A56" s="2" t="s">
        <v>208</v>
      </c>
      <c r="B56" s="2">
        <v>55</v>
      </c>
      <c r="C56" s="2" t="s">
        <v>213</v>
      </c>
      <c r="D56" s="2" t="s">
        <v>214</v>
      </c>
      <c r="E56" s="2" t="s">
        <v>215</v>
      </c>
      <c r="F56" s="2">
        <v>3</v>
      </c>
      <c r="G56" s="2">
        <v>12</v>
      </c>
      <c r="H56" s="2" t="s">
        <v>212</v>
      </c>
    </row>
    <row r="57" spans="1:8" ht="28" x14ac:dyDescent="0.35">
      <c r="A57" s="3" t="s">
        <v>208</v>
      </c>
      <c r="B57" s="3">
        <v>56</v>
      </c>
      <c r="C57" s="3" t="s">
        <v>216</v>
      </c>
      <c r="D57" s="3" t="s">
        <v>217</v>
      </c>
      <c r="E57" s="3" t="s">
        <v>218</v>
      </c>
      <c r="F57" s="3">
        <v>3</v>
      </c>
      <c r="G57" s="3">
        <v>12</v>
      </c>
      <c r="H57" s="3" t="s">
        <v>212</v>
      </c>
    </row>
    <row r="58" spans="1:8" ht="28" x14ac:dyDescent="0.35">
      <c r="A58" s="2" t="s">
        <v>208</v>
      </c>
      <c r="B58" s="2">
        <v>57</v>
      </c>
      <c r="C58" s="2" t="s">
        <v>219</v>
      </c>
      <c r="D58" s="2" t="s">
        <v>220</v>
      </c>
      <c r="E58" s="2" t="s">
        <v>221</v>
      </c>
      <c r="F58" s="2">
        <v>3</v>
      </c>
      <c r="G58" s="2">
        <v>13</v>
      </c>
      <c r="H58" s="2" t="s">
        <v>12</v>
      </c>
    </row>
    <row r="59" spans="1:8" ht="42" x14ac:dyDescent="0.35">
      <c r="A59" s="3" t="s">
        <v>208</v>
      </c>
      <c r="B59" s="3">
        <v>58</v>
      </c>
      <c r="C59" s="3" t="s">
        <v>222</v>
      </c>
      <c r="D59" s="3" t="s">
        <v>223</v>
      </c>
      <c r="E59" s="3" t="s">
        <v>224</v>
      </c>
      <c r="F59" s="3">
        <v>3</v>
      </c>
      <c r="G59" s="3">
        <v>19</v>
      </c>
      <c r="H59" s="3" t="s">
        <v>212</v>
      </c>
    </row>
    <row r="60" spans="1:8" ht="28" x14ac:dyDescent="0.35">
      <c r="A60" s="2" t="s">
        <v>208</v>
      </c>
      <c r="B60" s="2">
        <v>59</v>
      </c>
      <c r="C60" s="2" t="s">
        <v>225</v>
      </c>
      <c r="D60" s="2" t="s">
        <v>226</v>
      </c>
      <c r="E60" s="2" t="s">
        <v>227</v>
      </c>
      <c r="F60" s="2">
        <v>3</v>
      </c>
      <c r="G60" s="2">
        <v>19</v>
      </c>
      <c r="H60" s="2" t="s">
        <v>212</v>
      </c>
    </row>
    <row r="61" spans="1:8" ht="28" x14ac:dyDescent="0.35">
      <c r="A61" s="3" t="s">
        <v>208</v>
      </c>
      <c r="B61" s="3">
        <v>60</v>
      </c>
      <c r="C61" s="3" t="s">
        <v>228</v>
      </c>
      <c r="D61" s="3" t="s">
        <v>229</v>
      </c>
      <c r="E61" s="3" t="s">
        <v>230</v>
      </c>
      <c r="F61" s="3">
        <v>2</v>
      </c>
      <c r="G61" s="3">
        <v>19</v>
      </c>
      <c r="H61" s="3" t="s">
        <v>212</v>
      </c>
    </row>
    <row r="62" spans="1:8" ht="42" x14ac:dyDescent="0.35">
      <c r="A62" s="2" t="s">
        <v>231</v>
      </c>
      <c r="B62" s="2">
        <v>61</v>
      </c>
      <c r="C62" s="2" t="s">
        <v>232</v>
      </c>
      <c r="D62" s="2" t="s">
        <v>233</v>
      </c>
      <c r="E62" s="2" t="s">
        <v>234</v>
      </c>
      <c r="F62" s="2">
        <v>2</v>
      </c>
      <c r="G62" s="2">
        <v>14</v>
      </c>
      <c r="H62" s="2" t="s">
        <v>235</v>
      </c>
    </row>
    <row r="63" spans="1:8" ht="28" x14ac:dyDescent="0.35">
      <c r="A63" s="3" t="s">
        <v>231</v>
      </c>
      <c r="B63" s="3">
        <v>62</v>
      </c>
      <c r="C63" s="3" t="s">
        <v>236</v>
      </c>
      <c r="D63" s="3" t="s">
        <v>237</v>
      </c>
      <c r="E63" s="3" t="s">
        <v>238</v>
      </c>
      <c r="F63" s="3">
        <v>2</v>
      </c>
      <c r="G63" s="3">
        <v>14</v>
      </c>
      <c r="H63" s="3" t="s">
        <v>239</v>
      </c>
    </row>
    <row r="64" spans="1:8" ht="28" x14ac:dyDescent="0.35">
      <c r="A64" s="2" t="s">
        <v>231</v>
      </c>
      <c r="B64" s="2">
        <v>63</v>
      </c>
      <c r="C64" s="2" t="s">
        <v>240</v>
      </c>
      <c r="D64" s="2" t="s">
        <v>241</v>
      </c>
      <c r="E64" s="2" t="s">
        <v>242</v>
      </c>
      <c r="F64" s="2">
        <v>3</v>
      </c>
      <c r="G64" s="2">
        <v>15</v>
      </c>
      <c r="H64" s="2" t="s">
        <v>243</v>
      </c>
    </row>
    <row r="65" spans="1:8" ht="42" x14ac:dyDescent="0.35">
      <c r="A65" s="3" t="s">
        <v>231</v>
      </c>
      <c r="B65" s="3">
        <v>64</v>
      </c>
      <c r="C65" s="3" t="s">
        <v>244</v>
      </c>
      <c r="D65" s="3" t="s">
        <v>245</v>
      </c>
      <c r="E65" s="3" t="s">
        <v>246</v>
      </c>
      <c r="F65" s="3">
        <v>3</v>
      </c>
      <c r="G65" s="3">
        <v>15</v>
      </c>
      <c r="H65" s="3" t="s">
        <v>243</v>
      </c>
    </row>
    <row r="66" spans="1:8" ht="42" x14ac:dyDescent="0.35">
      <c r="A66" s="2" t="s">
        <v>231</v>
      </c>
      <c r="B66" s="2">
        <v>65</v>
      </c>
      <c r="C66" s="2" t="s">
        <v>247</v>
      </c>
      <c r="D66" s="2" t="s">
        <v>248</v>
      </c>
      <c r="E66" s="2" t="s">
        <v>249</v>
      </c>
      <c r="F66" s="2">
        <v>3</v>
      </c>
      <c r="G66" s="2">
        <v>16</v>
      </c>
      <c r="H66" s="2" t="s">
        <v>250</v>
      </c>
    </row>
    <row r="67" spans="1:8" ht="42" x14ac:dyDescent="0.35">
      <c r="A67" s="3" t="s">
        <v>231</v>
      </c>
      <c r="B67" s="3">
        <v>66</v>
      </c>
      <c r="C67" s="3" t="s">
        <v>251</v>
      </c>
      <c r="D67" s="3" t="s">
        <v>252</v>
      </c>
      <c r="E67" s="3" t="s">
        <v>253</v>
      </c>
      <c r="F67" s="3">
        <v>3</v>
      </c>
      <c r="G67" s="3">
        <v>16</v>
      </c>
      <c r="H67" s="3" t="s">
        <v>250</v>
      </c>
    </row>
    <row r="68" spans="1:8" ht="28" x14ac:dyDescent="0.35">
      <c r="A68" s="2" t="s">
        <v>231</v>
      </c>
      <c r="B68" s="2">
        <v>67</v>
      </c>
      <c r="C68" s="2" t="s">
        <v>254</v>
      </c>
      <c r="D68" s="2" t="s">
        <v>255</v>
      </c>
      <c r="E68" s="2" t="s">
        <v>256</v>
      </c>
      <c r="F68" s="2">
        <v>3</v>
      </c>
      <c r="G68" s="2">
        <v>16</v>
      </c>
      <c r="H68" s="2" t="s">
        <v>257</v>
      </c>
    </row>
    <row r="69" spans="1:8" ht="42" x14ac:dyDescent="0.35">
      <c r="A69" s="3" t="s">
        <v>231</v>
      </c>
      <c r="B69" s="3">
        <v>68</v>
      </c>
      <c r="C69" s="3" t="s">
        <v>258</v>
      </c>
      <c r="D69" s="3" t="s">
        <v>259</v>
      </c>
      <c r="E69" s="3" t="s">
        <v>260</v>
      </c>
      <c r="F69" s="3">
        <v>3</v>
      </c>
      <c r="G69" s="3">
        <v>16</v>
      </c>
      <c r="H69" s="3" t="s">
        <v>261</v>
      </c>
    </row>
    <row r="70" spans="1:8" ht="42" x14ac:dyDescent="0.35">
      <c r="A70" s="2" t="s">
        <v>262</v>
      </c>
      <c r="B70" s="2">
        <v>69</v>
      </c>
      <c r="C70" s="2" t="s">
        <v>263</v>
      </c>
      <c r="D70" s="2" t="s">
        <v>264</v>
      </c>
      <c r="E70" s="2" t="s">
        <v>265</v>
      </c>
      <c r="F70" s="2">
        <v>3</v>
      </c>
      <c r="G70" s="2">
        <v>17</v>
      </c>
      <c r="H70" s="2" t="s">
        <v>266</v>
      </c>
    </row>
    <row r="71" spans="1:8" ht="28" x14ac:dyDescent="0.35">
      <c r="A71" s="3" t="s">
        <v>262</v>
      </c>
      <c r="B71" s="3">
        <v>70</v>
      </c>
      <c r="C71" s="3" t="s">
        <v>267</v>
      </c>
      <c r="D71" s="3" t="s">
        <v>268</v>
      </c>
      <c r="E71" s="3" t="s">
        <v>269</v>
      </c>
      <c r="F71" s="3">
        <v>2</v>
      </c>
      <c r="G71" s="3">
        <v>17</v>
      </c>
      <c r="H71" s="3" t="s">
        <v>266</v>
      </c>
    </row>
    <row r="72" spans="1:8" ht="28" x14ac:dyDescent="0.35">
      <c r="A72" s="2" t="s">
        <v>262</v>
      </c>
      <c r="B72" s="2">
        <v>71</v>
      </c>
      <c r="C72" s="2" t="s">
        <v>270</v>
      </c>
      <c r="D72" s="2" t="s">
        <v>271</v>
      </c>
      <c r="E72" s="2" t="s">
        <v>272</v>
      </c>
      <c r="F72" s="2">
        <v>3</v>
      </c>
      <c r="G72" s="2">
        <v>17</v>
      </c>
      <c r="H72" s="2" t="s">
        <v>266</v>
      </c>
    </row>
    <row r="73" spans="1:8" ht="28" x14ac:dyDescent="0.35">
      <c r="A73" s="3" t="s">
        <v>262</v>
      </c>
      <c r="B73" s="3">
        <v>72</v>
      </c>
      <c r="C73" s="3" t="s">
        <v>273</v>
      </c>
      <c r="D73" s="3" t="s">
        <v>274</v>
      </c>
      <c r="E73" s="3" t="s">
        <v>275</v>
      </c>
      <c r="F73" s="3">
        <v>2</v>
      </c>
      <c r="G73" s="3">
        <v>17</v>
      </c>
      <c r="H73" s="3" t="s">
        <v>266</v>
      </c>
    </row>
    <row r="74" spans="1:8" ht="28" x14ac:dyDescent="0.35">
      <c r="A74" s="2" t="s">
        <v>262</v>
      </c>
      <c r="B74" s="2">
        <v>73</v>
      </c>
      <c r="C74" s="2" t="s">
        <v>276</v>
      </c>
      <c r="D74" s="2" t="s">
        <v>277</v>
      </c>
      <c r="E74" s="2" t="s">
        <v>278</v>
      </c>
      <c r="F74" s="2">
        <v>3</v>
      </c>
      <c r="G74" s="2">
        <v>18</v>
      </c>
      <c r="H74" s="2" t="s">
        <v>279</v>
      </c>
    </row>
    <row r="75" spans="1:8" ht="28" x14ac:dyDescent="0.35">
      <c r="A75" s="3" t="s">
        <v>262</v>
      </c>
      <c r="B75" s="3">
        <v>74</v>
      </c>
      <c r="C75" s="3" t="s">
        <v>280</v>
      </c>
      <c r="D75" s="3" t="s">
        <v>281</v>
      </c>
      <c r="E75" s="3" t="s">
        <v>282</v>
      </c>
      <c r="F75" s="3">
        <v>2</v>
      </c>
      <c r="G75" s="3">
        <v>18</v>
      </c>
      <c r="H75" s="3" t="s">
        <v>279</v>
      </c>
    </row>
    <row r="76" spans="1:8" ht="42" x14ac:dyDescent="0.35">
      <c r="A76" s="2" t="s">
        <v>262</v>
      </c>
      <c r="B76" s="2">
        <v>75</v>
      </c>
      <c r="C76" s="2" t="s">
        <v>283</v>
      </c>
      <c r="D76" s="2" t="s">
        <v>284</v>
      </c>
      <c r="E76" s="2" t="s">
        <v>285</v>
      </c>
      <c r="F76" s="2">
        <v>1</v>
      </c>
      <c r="G76" s="2">
        <v>18</v>
      </c>
      <c r="H76" s="2" t="s">
        <v>279</v>
      </c>
    </row>
    <row r="77" spans="1:8" ht="28" x14ac:dyDescent="0.35">
      <c r="A77" s="3" t="s">
        <v>262</v>
      </c>
      <c r="B77" s="3">
        <v>76</v>
      </c>
      <c r="C77" s="3" t="s">
        <v>286</v>
      </c>
      <c r="D77" s="3" t="s">
        <v>287</v>
      </c>
      <c r="E77" s="3" t="s">
        <v>288</v>
      </c>
      <c r="F77" s="3">
        <v>2</v>
      </c>
      <c r="G77" s="3">
        <v>18</v>
      </c>
      <c r="H77" s="3" t="s">
        <v>279</v>
      </c>
    </row>
    <row r="78" spans="1:8" ht="42" x14ac:dyDescent="0.35">
      <c r="A78" s="2" t="s">
        <v>262</v>
      </c>
      <c r="B78" s="2">
        <v>77</v>
      </c>
      <c r="C78" s="2" t="s">
        <v>289</v>
      </c>
      <c r="D78" s="2" t="s">
        <v>290</v>
      </c>
      <c r="E78" s="2" t="s">
        <v>291</v>
      </c>
      <c r="F78" s="2">
        <v>2</v>
      </c>
      <c r="G78" s="2">
        <v>22</v>
      </c>
      <c r="H78" s="2" t="s">
        <v>16</v>
      </c>
    </row>
    <row r="79" spans="1:8" ht="42" x14ac:dyDescent="0.35">
      <c r="A79" s="3" t="s">
        <v>292</v>
      </c>
      <c r="B79" s="3">
        <v>78</v>
      </c>
      <c r="C79" s="3" t="s">
        <v>293</v>
      </c>
      <c r="D79" s="3" t="s">
        <v>294</v>
      </c>
      <c r="E79" s="3" t="s">
        <v>295</v>
      </c>
      <c r="F79" s="3">
        <v>2</v>
      </c>
      <c r="G79" s="3">
        <v>23</v>
      </c>
      <c r="H79" s="3" t="s">
        <v>296</v>
      </c>
    </row>
    <row r="80" spans="1:8" ht="42" x14ac:dyDescent="0.35">
      <c r="A80" s="2" t="s">
        <v>292</v>
      </c>
      <c r="B80" s="2">
        <v>79</v>
      </c>
      <c r="C80" s="2" t="s">
        <v>297</v>
      </c>
      <c r="D80" s="2" t="s">
        <v>298</v>
      </c>
      <c r="E80" s="2" t="s">
        <v>299</v>
      </c>
      <c r="F80" s="2">
        <v>1</v>
      </c>
      <c r="G80" s="2">
        <v>23</v>
      </c>
      <c r="H80" s="2" t="s">
        <v>300</v>
      </c>
    </row>
    <row r="81" spans="1:8" ht="42" x14ac:dyDescent="0.35">
      <c r="A81" s="3" t="s">
        <v>292</v>
      </c>
      <c r="B81" s="3">
        <v>80</v>
      </c>
      <c r="C81" s="3" t="s">
        <v>301</v>
      </c>
      <c r="D81" s="3" t="s">
        <v>302</v>
      </c>
      <c r="E81" s="3" t="s">
        <v>303</v>
      </c>
      <c r="F81" s="3">
        <v>3</v>
      </c>
      <c r="G81" s="3">
        <v>23</v>
      </c>
      <c r="H81" s="3" t="s">
        <v>304</v>
      </c>
    </row>
    <row r="82" spans="1:8" ht="28" x14ac:dyDescent="0.35">
      <c r="A82" s="2" t="s">
        <v>292</v>
      </c>
      <c r="B82" s="2">
        <v>81</v>
      </c>
      <c r="C82" s="2" t="s">
        <v>305</v>
      </c>
      <c r="D82" s="2" t="s">
        <v>306</v>
      </c>
      <c r="E82" s="2" t="s">
        <v>307</v>
      </c>
      <c r="F82" s="2">
        <v>2</v>
      </c>
      <c r="G82" s="2">
        <v>23</v>
      </c>
      <c r="H82" s="2" t="s">
        <v>304</v>
      </c>
    </row>
    <row r="83" spans="1:8" ht="42" x14ac:dyDescent="0.35">
      <c r="A83" s="3" t="s">
        <v>292</v>
      </c>
      <c r="B83" s="3">
        <v>82</v>
      </c>
      <c r="C83" s="3" t="s">
        <v>308</v>
      </c>
      <c r="D83" s="3" t="s">
        <v>309</v>
      </c>
      <c r="E83" s="3" t="s">
        <v>310</v>
      </c>
      <c r="F83" s="3">
        <v>2</v>
      </c>
      <c r="G83" s="3">
        <v>23</v>
      </c>
      <c r="H83" s="3" t="s">
        <v>311</v>
      </c>
    </row>
    <row r="84" spans="1:8" ht="42" x14ac:dyDescent="0.35">
      <c r="A84" s="2" t="s">
        <v>292</v>
      </c>
      <c r="B84" s="2">
        <v>83</v>
      </c>
      <c r="C84" s="2" t="s">
        <v>312</v>
      </c>
      <c r="D84" s="2" t="s">
        <v>313</v>
      </c>
      <c r="E84" s="2" t="s">
        <v>314</v>
      </c>
      <c r="F84" s="2">
        <v>3</v>
      </c>
      <c r="G84" s="2">
        <v>23</v>
      </c>
      <c r="H84" s="2" t="s">
        <v>315</v>
      </c>
    </row>
    <row r="85" spans="1:8" ht="42" x14ac:dyDescent="0.35">
      <c r="A85" s="3" t="s">
        <v>292</v>
      </c>
      <c r="B85" s="3">
        <v>84</v>
      </c>
      <c r="C85" s="3" t="s">
        <v>316</v>
      </c>
      <c r="D85" s="3" t="s">
        <v>317</v>
      </c>
      <c r="E85" s="3" t="s">
        <v>318</v>
      </c>
      <c r="F85" s="3">
        <v>2</v>
      </c>
      <c r="G85" s="3">
        <v>23</v>
      </c>
      <c r="H85" s="3" t="s">
        <v>315</v>
      </c>
    </row>
    <row r="86" spans="1:8" ht="42" x14ac:dyDescent="0.35">
      <c r="A86" s="2" t="s">
        <v>292</v>
      </c>
      <c r="B86" s="2">
        <v>85</v>
      </c>
      <c r="C86" s="2" t="s">
        <v>319</v>
      </c>
      <c r="D86" s="2" t="s">
        <v>320</v>
      </c>
      <c r="E86" s="2" t="s">
        <v>321</v>
      </c>
      <c r="F86" s="2">
        <v>2</v>
      </c>
      <c r="G86" s="2">
        <v>23</v>
      </c>
      <c r="H86" s="2" t="s">
        <v>315</v>
      </c>
    </row>
    <row r="87" spans="1:8" ht="28" x14ac:dyDescent="0.35">
      <c r="A87" s="3" t="s">
        <v>322</v>
      </c>
      <c r="B87" s="3">
        <v>86</v>
      </c>
      <c r="C87" s="3" t="s">
        <v>323</v>
      </c>
      <c r="D87" s="3" t="s">
        <v>324</v>
      </c>
      <c r="E87" s="3" t="s">
        <v>325</v>
      </c>
      <c r="F87" s="3">
        <v>3</v>
      </c>
      <c r="G87" s="3">
        <v>20</v>
      </c>
      <c r="H87" s="3" t="s">
        <v>326</v>
      </c>
    </row>
    <row r="88" spans="1:8" ht="28" x14ac:dyDescent="0.35">
      <c r="A88" s="2" t="s">
        <v>322</v>
      </c>
      <c r="B88" s="2">
        <v>87</v>
      </c>
      <c r="C88" s="2" t="s">
        <v>327</v>
      </c>
      <c r="D88" s="2" t="s">
        <v>328</v>
      </c>
      <c r="E88" s="2" t="s">
        <v>329</v>
      </c>
      <c r="F88" s="2">
        <v>2</v>
      </c>
      <c r="G88" s="2">
        <v>20</v>
      </c>
      <c r="H88" s="2" t="s">
        <v>330</v>
      </c>
    </row>
    <row r="89" spans="1:8" ht="28" x14ac:dyDescent="0.35">
      <c r="A89" s="3" t="s">
        <v>322</v>
      </c>
      <c r="B89" s="3">
        <v>88</v>
      </c>
      <c r="C89" s="3" t="s">
        <v>331</v>
      </c>
      <c r="D89" s="3" t="s">
        <v>332</v>
      </c>
      <c r="E89" s="3" t="s">
        <v>333</v>
      </c>
      <c r="F89" s="3">
        <v>2</v>
      </c>
      <c r="G89" s="3">
        <v>21</v>
      </c>
      <c r="H89" s="3" t="s">
        <v>334</v>
      </c>
    </row>
    <row r="90" spans="1:8" ht="28" x14ac:dyDescent="0.35">
      <c r="A90" s="2" t="s">
        <v>322</v>
      </c>
      <c r="B90" s="2">
        <v>89</v>
      </c>
      <c r="C90" s="2" t="s">
        <v>335</v>
      </c>
      <c r="D90" s="2" t="s">
        <v>336</v>
      </c>
      <c r="E90" s="2" t="s">
        <v>337</v>
      </c>
      <c r="F90" s="2">
        <v>1</v>
      </c>
      <c r="G90" s="2">
        <v>21</v>
      </c>
      <c r="H90" s="2" t="s">
        <v>338</v>
      </c>
    </row>
    <row r="91" spans="1:8" ht="28" x14ac:dyDescent="0.35">
      <c r="A91" s="3" t="s">
        <v>322</v>
      </c>
      <c r="B91" s="3">
        <v>90</v>
      </c>
      <c r="C91" s="3" t="s">
        <v>339</v>
      </c>
      <c r="D91" s="3" t="s">
        <v>340</v>
      </c>
      <c r="E91" s="3" t="s">
        <v>341</v>
      </c>
      <c r="F91" s="3">
        <v>4</v>
      </c>
      <c r="G91" s="3">
        <v>21</v>
      </c>
      <c r="H91" s="3" t="s">
        <v>338</v>
      </c>
    </row>
    <row r="92" spans="1:8" ht="42" x14ac:dyDescent="0.35">
      <c r="A92" s="2" t="s">
        <v>342</v>
      </c>
      <c r="B92" s="2">
        <v>91</v>
      </c>
      <c r="C92" s="2" t="s">
        <v>343</v>
      </c>
      <c r="D92" s="2" t="s">
        <v>344</v>
      </c>
      <c r="E92" s="2" t="s">
        <v>345</v>
      </c>
      <c r="F92" s="2">
        <v>3</v>
      </c>
      <c r="G92" s="2">
        <v>24</v>
      </c>
      <c r="H92" s="2" t="s">
        <v>346</v>
      </c>
    </row>
    <row r="93" spans="1:8" ht="42" x14ac:dyDescent="0.35">
      <c r="A93" s="3" t="s">
        <v>342</v>
      </c>
      <c r="B93" s="3">
        <v>92</v>
      </c>
      <c r="C93" s="3" t="s">
        <v>347</v>
      </c>
      <c r="D93" s="3" t="s">
        <v>348</v>
      </c>
      <c r="E93" s="3" t="s">
        <v>349</v>
      </c>
      <c r="F93" s="3">
        <v>2</v>
      </c>
      <c r="G93" s="3">
        <v>24</v>
      </c>
      <c r="H93" s="3" t="s">
        <v>350</v>
      </c>
    </row>
    <row r="94" spans="1:8" ht="42" x14ac:dyDescent="0.35">
      <c r="A94" s="2" t="s">
        <v>342</v>
      </c>
      <c r="B94" s="2">
        <v>93</v>
      </c>
      <c r="C94" s="2" t="s">
        <v>351</v>
      </c>
      <c r="D94" s="2" t="s">
        <v>352</v>
      </c>
      <c r="E94" s="2" t="s">
        <v>353</v>
      </c>
      <c r="F94" s="2">
        <v>2</v>
      </c>
      <c r="G94" s="2">
        <v>24</v>
      </c>
      <c r="H94" s="2" t="s">
        <v>354</v>
      </c>
    </row>
    <row r="95" spans="1:8" ht="42" x14ac:dyDescent="0.35">
      <c r="A95" s="3" t="s">
        <v>342</v>
      </c>
      <c r="B95" s="3">
        <v>94</v>
      </c>
      <c r="C95" s="3" t="s">
        <v>355</v>
      </c>
      <c r="D95" s="3" t="s">
        <v>356</v>
      </c>
      <c r="E95" s="3" t="s">
        <v>357</v>
      </c>
      <c r="F95" s="3">
        <v>3</v>
      </c>
      <c r="G95" s="3">
        <v>24</v>
      </c>
      <c r="H95" s="3" t="s">
        <v>358</v>
      </c>
    </row>
    <row r="96" spans="1:8" ht="42" x14ac:dyDescent="0.35">
      <c r="A96" s="2" t="s">
        <v>342</v>
      </c>
      <c r="B96" s="2">
        <v>95</v>
      </c>
      <c r="C96" s="2" t="s">
        <v>359</v>
      </c>
      <c r="D96" s="2" t="s">
        <v>360</v>
      </c>
      <c r="E96" s="2" t="s">
        <v>361</v>
      </c>
      <c r="F96" s="2">
        <v>2</v>
      </c>
      <c r="G96" s="2">
        <v>24</v>
      </c>
      <c r="H96" s="2" t="s">
        <v>362</v>
      </c>
    </row>
    <row r="97" spans="1:8" ht="42" x14ac:dyDescent="0.35">
      <c r="A97" s="3" t="s">
        <v>342</v>
      </c>
      <c r="B97" s="3">
        <v>96</v>
      </c>
      <c r="C97" s="3" t="s">
        <v>363</v>
      </c>
      <c r="D97" s="3" t="s">
        <v>364</v>
      </c>
      <c r="E97" s="3" t="s">
        <v>365</v>
      </c>
      <c r="F97" s="3">
        <v>2</v>
      </c>
      <c r="G97" s="3">
        <v>24</v>
      </c>
      <c r="H97" s="3" t="s">
        <v>366</v>
      </c>
    </row>
    <row r="98" spans="1:8" ht="28" x14ac:dyDescent="0.35">
      <c r="A98" s="2" t="s">
        <v>342</v>
      </c>
      <c r="B98" s="2">
        <v>97</v>
      </c>
      <c r="C98" s="2" t="s">
        <v>367</v>
      </c>
      <c r="D98" s="2" t="s">
        <v>368</v>
      </c>
      <c r="E98" s="2" t="s">
        <v>369</v>
      </c>
      <c r="F98" s="2">
        <v>2</v>
      </c>
      <c r="G98" s="2">
        <v>24</v>
      </c>
      <c r="H98" s="2" t="s">
        <v>370</v>
      </c>
    </row>
    <row r="99" spans="1:8" ht="42" x14ac:dyDescent="0.35">
      <c r="A99" s="3" t="s">
        <v>342</v>
      </c>
      <c r="B99" s="3">
        <v>98</v>
      </c>
      <c r="C99" s="3" t="s">
        <v>371</v>
      </c>
      <c r="D99" s="3" t="s">
        <v>372</v>
      </c>
      <c r="E99" s="3" t="s">
        <v>373</v>
      </c>
      <c r="F99" s="3">
        <v>3</v>
      </c>
      <c r="G99" s="3">
        <v>24</v>
      </c>
      <c r="H99" s="3" t="s">
        <v>374</v>
      </c>
    </row>
    <row r="100" spans="1:8" ht="42" x14ac:dyDescent="0.35">
      <c r="A100" s="2" t="s">
        <v>342</v>
      </c>
      <c r="B100" s="2">
        <v>99</v>
      </c>
      <c r="C100" s="2" t="s">
        <v>375</v>
      </c>
      <c r="D100" s="2" t="s">
        <v>376</v>
      </c>
      <c r="E100" s="2" t="s">
        <v>377</v>
      </c>
      <c r="F100" s="2">
        <v>2</v>
      </c>
      <c r="G100" s="2">
        <v>24</v>
      </c>
      <c r="H100" s="2" t="s">
        <v>378</v>
      </c>
    </row>
    <row r="101" spans="1:8" ht="28" x14ac:dyDescent="0.35">
      <c r="A101" s="3" t="s">
        <v>342</v>
      </c>
      <c r="B101" s="3">
        <v>100</v>
      </c>
      <c r="C101" s="3" t="s">
        <v>379</v>
      </c>
      <c r="D101" s="3" t="s">
        <v>380</v>
      </c>
      <c r="E101" s="3" t="s">
        <v>381</v>
      </c>
      <c r="F101" s="3">
        <v>2</v>
      </c>
      <c r="G101" s="3">
        <v>24</v>
      </c>
      <c r="H101" s="3" t="s">
        <v>382</v>
      </c>
    </row>
    <row r="102" spans="1:8" ht="42" x14ac:dyDescent="0.35">
      <c r="A102" s="2" t="s">
        <v>342</v>
      </c>
      <c r="B102" s="2">
        <v>101</v>
      </c>
      <c r="C102" s="2" t="s">
        <v>383</v>
      </c>
      <c r="D102" s="2" t="s">
        <v>384</v>
      </c>
      <c r="E102" s="2" t="s">
        <v>385</v>
      </c>
      <c r="F102" s="2">
        <v>2</v>
      </c>
      <c r="G102" s="2">
        <v>24</v>
      </c>
      <c r="H102" s="2" t="s">
        <v>386</v>
      </c>
    </row>
    <row r="103" spans="1:8" ht="42" x14ac:dyDescent="0.35">
      <c r="A103" s="3" t="s">
        <v>342</v>
      </c>
      <c r="B103" s="3">
        <v>102</v>
      </c>
      <c r="C103" s="3" t="s">
        <v>387</v>
      </c>
      <c r="D103" s="3" t="s">
        <v>388</v>
      </c>
      <c r="E103" s="3" t="s">
        <v>389</v>
      </c>
      <c r="F103" s="3">
        <v>2</v>
      </c>
      <c r="G103" s="3">
        <v>24</v>
      </c>
      <c r="H103" s="3" t="s">
        <v>390</v>
      </c>
    </row>
    <row r="104" spans="1:8" ht="28" x14ac:dyDescent="0.35">
      <c r="A104" s="2" t="s">
        <v>342</v>
      </c>
      <c r="B104" s="2">
        <v>103</v>
      </c>
      <c r="C104" s="2" t="s">
        <v>391</v>
      </c>
      <c r="D104" s="2" t="s">
        <v>392</v>
      </c>
      <c r="E104" s="2" t="s">
        <v>393</v>
      </c>
      <c r="F104" s="2">
        <v>1</v>
      </c>
      <c r="G104" s="2">
        <v>24</v>
      </c>
      <c r="H104" s="2" t="s">
        <v>394</v>
      </c>
    </row>
    <row r="105" spans="1:8" ht="42" x14ac:dyDescent="0.35">
      <c r="A105" s="3" t="s">
        <v>342</v>
      </c>
      <c r="B105" s="3">
        <v>104</v>
      </c>
      <c r="C105" s="3" t="s">
        <v>395</v>
      </c>
      <c r="D105" s="3" t="s">
        <v>396</v>
      </c>
      <c r="E105" s="3" t="s">
        <v>397</v>
      </c>
      <c r="F105" s="3">
        <v>2</v>
      </c>
      <c r="G105" s="3">
        <v>24</v>
      </c>
      <c r="H105" s="3" t="s">
        <v>398</v>
      </c>
    </row>
    <row r="106" spans="1:8" ht="42" x14ac:dyDescent="0.35">
      <c r="A106" s="2" t="s">
        <v>342</v>
      </c>
      <c r="B106" s="2">
        <v>105</v>
      </c>
      <c r="C106" s="2" t="s">
        <v>399</v>
      </c>
      <c r="D106" s="2" t="s">
        <v>400</v>
      </c>
      <c r="E106" s="2" t="s">
        <v>401</v>
      </c>
      <c r="F106" s="2">
        <v>2</v>
      </c>
      <c r="G106" s="2">
        <v>24</v>
      </c>
      <c r="H106" s="2" t="s">
        <v>402</v>
      </c>
    </row>
    <row r="107" spans="1:8" ht="42" x14ac:dyDescent="0.35">
      <c r="A107" s="3" t="s">
        <v>342</v>
      </c>
      <c r="B107" s="3">
        <v>106</v>
      </c>
      <c r="C107" s="3" t="s">
        <v>403</v>
      </c>
      <c r="D107" s="3" t="s">
        <v>404</v>
      </c>
      <c r="E107" s="3" t="s">
        <v>405</v>
      </c>
      <c r="F107" s="3">
        <v>3</v>
      </c>
      <c r="G107" s="3">
        <v>24</v>
      </c>
      <c r="H107" s="3" t="s">
        <v>406</v>
      </c>
    </row>
    <row r="108" spans="1:8" ht="28" x14ac:dyDescent="0.35">
      <c r="A108" s="2" t="s">
        <v>342</v>
      </c>
      <c r="B108" s="2">
        <v>107</v>
      </c>
      <c r="C108" s="2" t="s">
        <v>407</v>
      </c>
      <c r="D108" s="2" t="s">
        <v>408</v>
      </c>
      <c r="E108" s="2" t="s">
        <v>409</v>
      </c>
      <c r="F108" s="2">
        <v>2</v>
      </c>
      <c r="G108" s="2">
        <v>24</v>
      </c>
      <c r="H108" s="2" t="s">
        <v>410</v>
      </c>
    </row>
    <row r="109" spans="1:8" ht="28" x14ac:dyDescent="0.35">
      <c r="A109" s="3" t="s">
        <v>342</v>
      </c>
      <c r="B109" s="3">
        <v>108</v>
      </c>
      <c r="C109" s="3" t="s">
        <v>411</v>
      </c>
      <c r="D109" s="3" t="s">
        <v>412</v>
      </c>
      <c r="E109" s="3" t="s">
        <v>413</v>
      </c>
      <c r="F109" s="3">
        <v>10</v>
      </c>
      <c r="G109" s="3" t="s">
        <v>414</v>
      </c>
      <c r="H109" s="3" t="s">
        <v>415</v>
      </c>
    </row>
    <row r="110" spans="1:8" x14ac:dyDescent="0.35">
      <c r="C110" s="4" t="s">
        <v>416</v>
      </c>
      <c r="F110" s="4">
        <f>SUM(F2:F109)</f>
        <v>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3"/>
  <sheetViews>
    <sheetView workbookViewId="0">
      <pane ySplit="5" topLeftCell="A6" activePane="bottomLeft" state="frozen"/>
      <selection pane="bottomLeft"/>
    </sheetView>
  </sheetViews>
  <sheetFormatPr defaultRowHeight="14.5" x14ac:dyDescent="0.35"/>
  <cols>
    <col min="1" max="1" width="12" customWidth="1"/>
    <col min="2" max="3" width="34" customWidth="1"/>
    <col min="4" max="4" width="14" customWidth="1"/>
    <col min="5" max="5" width="12" customWidth="1"/>
    <col min="6" max="6" width="14" customWidth="1"/>
    <col min="7" max="7" width="16" customWidth="1"/>
    <col min="8" max="8" width="40" customWidth="1"/>
  </cols>
  <sheetData>
    <row r="1" spans="1:8" x14ac:dyDescent="0.35">
      <c r="A1" s="4" t="s">
        <v>417</v>
      </c>
    </row>
    <row r="2" spans="1:8" ht="28" x14ac:dyDescent="0.35">
      <c r="A2" s="1" t="s">
        <v>418</v>
      </c>
      <c r="B2" s="1" t="s">
        <v>419</v>
      </c>
      <c r="C2" s="1" t="s">
        <v>420</v>
      </c>
      <c r="D2" s="1" t="s">
        <v>421</v>
      </c>
      <c r="E2" s="1" t="s">
        <v>422</v>
      </c>
    </row>
    <row r="3" spans="1:8" x14ac:dyDescent="0.35">
      <c r="A3" s="5">
        <f>COUNTA(B6:B113)</f>
        <v>108</v>
      </c>
      <c r="B3" s="5">
        <f>COUNTIF(D6:D113,"Completed")</f>
        <v>0</v>
      </c>
      <c r="C3" s="5">
        <f>COUNTIF(D6:D113,"In Progress")</f>
        <v>0</v>
      </c>
      <c r="D3" s="5">
        <f>COUNTIF(D6:D113,"Not Started")</f>
        <v>108</v>
      </c>
      <c r="E3" s="6">
        <f>AVERAGE(E6:E113)/100</f>
        <v>0</v>
      </c>
    </row>
    <row r="5" spans="1:8" ht="28" x14ac:dyDescent="0.35">
      <c r="A5" s="1" t="s">
        <v>1</v>
      </c>
      <c r="B5" s="1" t="s">
        <v>2</v>
      </c>
      <c r="C5" s="1" t="s">
        <v>0</v>
      </c>
      <c r="D5" s="1" t="s">
        <v>423</v>
      </c>
      <c r="E5" s="1" t="s">
        <v>424</v>
      </c>
      <c r="F5" s="1" t="s">
        <v>425</v>
      </c>
      <c r="G5" s="1" t="s">
        <v>426</v>
      </c>
      <c r="H5" s="1" t="s">
        <v>427</v>
      </c>
    </row>
    <row r="6" spans="1:8" x14ac:dyDescent="0.35">
      <c r="A6" s="2">
        <v>1</v>
      </c>
      <c r="B6" s="2" t="str">
        <f>'Databricks Master Syllabus'!C2</f>
        <v>What a Lakehouse Is</v>
      </c>
      <c r="C6" s="2" t="str">
        <f>'Databricks Master Syllabus'!A2</f>
        <v>1. Lakehouse &amp; Platform Foundations</v>
      </c>
      <c r="D6" s="2" t="s">
        <v>421</v>
      </c>
      <c r="E6" s="2">
        <v>0</v>
      </c>
      <c r="F6" s="2"/>
      <c r="G6" s="2"/>
      <c r="H6" s="2"/>
    </row>
    <row r="7" spans="1:8" x14ac:dyDescent="0.35">
      <c r="A7" s="3">
        <v>2</v>
      </c>
      <c r="B7" s="3" t="str">
        <f>'Databricks Master Syllabus'!C3</f>
        <v>Control Plane vs Compute Plane on Azure</v>
      </c>
      <c r="C7" s="3" t="str">
        <f>'Databricks Master Syllabus'!A3</f>
        <v>1. Lakehouse &amp; Platform Foundations</v>
      </c>
      <c r="D7" s="3" t="s">
        <v>421</v>
      </c>
      <c r="E7" s="3">
        <v>0</v>
      </c>
      <c r="F7" s="3"/>
      <c r="G7" s="3"/>
      <c r="H7" s="3"/>
    </row>
    <row r="8" spans="1:8" x14ac:dyDescent="0.35">
      <c r="A8" s="2">
        <v>3</v>
      </c>
      <c r="B8" s="2" t="str">
        <f>'Databricks Master Syllabus'!C4</f>
        <v>Account, Workspace and Metastore</v>
      </c>
      <c r="C8" s="2" t="str">
        <f>'Databricks Master Syllabus'!A4</f>
        <v>1. Lakehouse &amp; Platform Foundations</v>
      </c>
      <c r="D8" s="2" t="s">
        <v>421</v>
      </c>
      <c r="E8" s="2">
        <v>0</v>
      </c>
      <c r="F8" s="2"/>
      <c r="G8" s="2"/>
      <c r="H8" s="2"/>
    </row>
    <row r="9" spans="1:8" x14ac:dyDescent="0.35">
      <c r="A9" s="3">
        <v>4</v>
      </c>
      <c r="B9" s="3" t="str">
        <f>'Databricks Master Syllabus'!C5</f>
        <v>Workspace Objects and Permissions</v>
      </c>
      <c r="C9" s="3" t="str">
        <f>'Databricks Master Syllabus'!A5</f>
        <v>1. Lakehouse &amp; Platform Foundations</v>
      </c>
      <c r="D9" s="3" t="s">
        <v>421</v>
      </c>
      <c r="E9" s="3">
        <v>0</v>
      </c>
      <c r="F9" s="3"/>
      <c r="G9" s="3"/>
      <c r="H9" s="3"/>
    </row>
    <row r="10" spans="1:8" x14ac:dyDescent="0.35">
      <c r="A10" s="2">
        <v>5</v>
      </c>
      <c r="B10" s="2" t="str">
        <f>'Databricks Master Syllabus'!C6</f>
        <v>Product Names, Old and New</v>
      </c>
      <c r="C10" s="2" t="str">
        <f>'Databricks Master Syllabus'!A6</f>
        <v>1. Lakehouse &amp; Platform Foundations</v>
      </c>
      <c r="D10" s="2" t="s">
        <v>421</v>
      </c>
      <c r="E10" s="2">
        <v>0</v>
      </c>
      <c r="F10" s="2"/>
      <c r="G10" s="2"/>
      <c r="H10" s="2"/>
    </row>
    <row r="11" spans="1:8" x14ac:dyDescent="0.35">
      <c r="A11" s="3">
        <v>6</v>
      </c>
      <c r="B11" s="3" t="str">
        <f>'Databricks Master Syllabus'!C7</f>
        <v>Databricks Free Edition Setup</v>
      </c>
      <c r="C11" s="3" t="str">
        <f>'Databricks Master Syllabus'!A7</f>
        <v>1. Lakehouse &amp; Platform Foundations</v>
      </c>
      <c r="D11" s="3" t="s">
        <v>421</v>
      </c>
      <c r="E11" s="3">
        <v>0</v>
      </c>
      <c r="F11" s="3"/>
      <c r="G11" s="3"/>
      <c r="H11" s="3"/>
    </row>
    <row r="12" spans="1:8" x14ac:dyDescent="0.35">
      <c r="A12" s="2">
        <v>7</v>
      </c>
      <c r="B12" s="2" t="str">
        <f>'Databricks Master Syllabus'!C8</f>
        <v>Columnar Storage</v>
      </c>
      <c r="C12" s="2" t="str">
        <f>'Databricks Master Syllabus'!A8</f>
        <v>2. Parquet: The File Format</v>
      </c>
      <c r="D12" s="2" t="s">
        <v>421</v>
      </c>
      <c r="E12" s="2">
        <v>0</v>
      </c>
      <c r="F12" s="2"/>
      <c r="G12" s="2"/>
      <c r="H12" s="2"/>
    </row>
    <row r="13" spans="1:8" x14ac:dyDescent="0.35">
      <c r="A13" s="3">
        <v>8</v>
      </c>
      <c r="B13" s="3" t="str">
        <f>'Databricks Master Syllabus'!C9</f>
        <v>Parquet File Anatomy</v>
      </c>
      <c r="C13" s="3" t="str">
        <f>'Databricks Master Syllabus'!A9</f>
        <v>2. Parquet: The File Format</v>
      </c>
      <c r="D13" s="3" t="s">
        <v>421</v>
      </c>
      <c r="E13" s="3">
        <v>0</v>
      </c>
      <c r="F13" s="3"/>
      <c r="G13" s="3"/>
      <c r="H13" s="3"/>
    </row>
    <row r="14" spans="1:8" x14ac:dyDescent="0.35">
      <c r="A14" s="2">
        <v>9</v>
      </c>
      <c r="B14" s="2" t="str">
        <f>'Databricks Master Syllabus'!C10</f>
        <v>Statistics, Page Index and Bloom Filters</v>
      </c>
      <c r="C14" s="2" t="str">
        <f>'Databricks Master Syllabus'!A10</f>
        <v>2. Parquet: The File Format</v>
      </c>
      <c r="D14" s="2" t="s">
        <v>421</v>
      </c>
      <c r="E14" s="2">
        <v>0</v>
      </c>
      <c r="F14" s="2"/>
      <c r="G14" s="2"/>
      <c r="H14" s="2"/>
    </row>
    <row r="15" spans="1:8" x14ac:dyDescent="0.35">
      <c r="A15" s="3">
        <v>10</v>
      </c>
      <c r="B15" s="3" t="str">
        <f>'Databricks Master Syllabus'!C11</f>
        <v>Types, Encodings and Compression</v>
      </c>
      <c r="C15" s="3" t="str">
        <f>'Databricks Master Syllabus'!A11</f>
        <v>2. Parquet: The File Format</v>
      </c>
      <c r="D15" s="3" t="s">
        <v>421</v>
      </c>
      <c r="E15" s="3">
        <v>0</v>
      </c>
      <c r="F15" s="3"/>
      <c r="G15" s="3"/>
      <c r="H15" s="3"/>
    </row>
    <row r="16" spans="1:8" x14ac:dyDescent="0.35">
      <c r="A16" s="2">
        <v>11</v>
      </c>
      <c r="B16" s="2" t="str">
        <f>'Databricks Master Syllabus'!C12</f>
        <v>Parquet in Spark</v>
      </c>
      <c r="C16" s="2" t="str">
        <f>'Databricks Master Syllabus'!A12</f>
        <v>2. Parquet: The File Format</v>
      </c>
      <c r="D16" s="2" t="s">
        <v>421</v>
      </c>
      <c r="E16" s="2">
        <v>0</v>
      </c>
      <c r="F16" s="2"/>
      <c r="G16" s="2"/>
      <c r="H16" s="2"/>
    </row>
    <row r="17" spans="1:8" x14ac:dyDescent="0.35">
      <c r="A17" s="3">
        <v>12</v>
      </c>
      <c r="B17" s="3" t="str">
        <f>'Databricks Master Syllabus'!C13</f>
        <v>Hive-Style Partitioning and Small Files</v>
      </c>
      <c r="C17" s="3" t="str">
        <f>'Databricks Master Syllabus'!A13</f>
        <v>2. Parquet: The File Format</v>
      </c>
      <c r="D17" s="3" t="s">
        <v>421</v>
      </c>
      <c r="E17" s="3">
        <v>0</v>
      </c>
      <c r="F17" s="3"/>
      <c r="G17" s="3"/>
      <c r="H17" s="3"/>
    </row>
    <row r="18" spans="1:8" x14ac:dyDescent="0.35">
      <c r="A18" s="2">
        <v>13</v>
      </c>
      <c r="B18" s="2" t="str">
        <f>'Databricks Master Syllabus'!C14</f>
        <v>Delta Lake = Parquet + Transaction Log</v>
      </c>
      <c r="C18" s="2" t="str">
        <f>'Databricks Master Syllabus'!A14</f>
        <v>3. Delta Lake Internals</v>
      </c>
      <c r="D18" s="2" t="s">
        <v>421</v>
      </c>
      <c r="E18" s="2">
        <v>0</v>
      </c>
      <c r="F18" s="2"/>
      <c r="G18" s="2"/>
      <c r="H18" s="2"/>
    </row>
    <row r="19" spans="1:8" x14ac:dyDescent="0.35">
      <c r="A19" s="3">
        <v>14</v>
      </c>
      <c r="B19" s="3" t="str">
        <f>'Databricks Master Syllabus'!C15</f>
        <v>Commit Files in _delta_log</v>
      </c>
      <c r="C19" s="3" t="str">
        <f>'Databricks Master Syllabus'!A15</f>
        <v>3. Delta Lake Internals</v>
      </c>
      <c r="D19" s="3" t="s">
        <v>421</v>
      </c>
      <c r="E19" s="3">
        <v>0</v>
      </c>
      <c r="F19" s="3"/>
      <c r="G19" s="3"/>
      <c r="H19" s="3"/>
    </row>
    <row r="20" spans="1:8" x14ac:dyDescent="0.35">
      <c r="A20" s="2">
        <v>15</v>
      </c>
      <c r="B20" s="2" t="str">
        <f>'Databricks Master Syllabus'!C16</f>
        <v>Log Actions</v>
      </c>
      <c r="C20" s="2" t="str">
        <f>'Databricks Master Syllabus'!A16</f>
        <v>3. Delta Lake Internals</v>
      </c>
      <c r="D20" s="2" t="s">
        <v>421</v>
      </c>
      <c r="E20" s="2">
        <v>0</v>
      </c>
      <c r="F20" s="2"/>
      <c r="G20" s="2"/>
      <c r="H20" s="2"/>
    </row>
    <row r="21" spans="1:8" x14ac:dyDescent="0.35">
      <c r="A21" s="3">
        <v>16</v>
      </c>
      <c r="B21" s="3" t="str">
        <f>'Databricks Master Syllabus'!C17</f>
        <v>Snapshots, Tombstones and Log Replay</v>
      </c>
      <c r="C21" s="3" t="str">
        <f>'Databricks Master Syllabus'!A17</f>
        <v>3. Delta Lake Internals</v>
      </c>
      <c r="D21" s="3" t="s">
        <v>421</v>
      </c>
      <c r="E21" s="3">
        <v>0</v>
      </c>
      <c r="F21" s="3"/>
      <c r="G21" s="3"/>
      <c r="H21" s="3"/>
    </row>
    <row r="22" spans="1:8" x14ac:dyDescent="0.35">
      <c r="A22" s="2">
        <v>17</v>
      </c>
      <c r="B22" s="2" t="str">
        <f>'Databricks Master Syllabus'!C18</f>
        <v>Checkpoints and _last_checkpoint</v>
      </c>
      <c r="C22" s="2" t="str">
        <f>'Databricks Master Syllabus'!A18</f>
        <v>3. Delta Lake Internals</v>
      </c>
      <c r="D22" s="2" t="s">
        <v>421</v>
      </c>
      <c r="E22" s="2">
        <v>0</v>
      </c>
      <c r="F22" s="2"/>
      <c r="G22" s="2"/>
      <c r="H22" s="2"/>
    </row>
    <row r="23" spans="1:8" x14ac:dyDescent="0.35">
      <c r="A23" s="3">
        <v>18</v>
      </c>
      <c r="B23" s="3" t="str">
        <f>'Databricks Master Syllabus'!C19</f>
        <v>Optimistic Concurrency and Write Conflicts</v>
      </c>
      <c r="C23" s="3" t="str">
        <f>'Databricks Master Syllabus'!A19</f>
        <v>3. Delta Lake Internals</v>
      </c>
      <c r="D23" s="3" t="s">
        <v>421</v>
      </c>
      <c r="E23" s="3">
        <v>0</v>
      </c>
      <c r="F23" s="3"/>
      <c r="G23" s="3"/>
      <c r="H23" s="3"/>
    </row>
    <row r="24" spans="1:8" x14ac:dyDescent="0.35">
      <c r="A24" s="2">
        <v>19</v>
      </c>
      <c r="B24" s="2" t="str">
        <f>'Databricks Master Syllabus'!C20</f>
        <v>Isolation Levels and Transaction Scope</v>
      </c>
      <c r="C24" s="2" t="str">
        <f>'Databricks Master Syllabus'!A20</f>
        <v>3. Delta Lake Internals</v>
      </c>
      <c r="D24" s="2" t="s">
        <v>421</v>
      </c>
      <c r="E24" s="2">
        <v>0</v>
      </c>
      <c r="F24" s="2"/>
      <c r="G24" s="2"/>
      <c r="H24" s="2"/>
    </row>
    <row r="25" spans="1:8" x14ac:dyDescent="0.35">
      <c r="A25" s="3">
        <v>20</v>
      </c>
      <c r="B25" s="3" t="str">
        <f>'Databricks Master Syllabus'!C21</f>
        <v>Protocol Versions and Table Features</v>
      </c>
      <c r="C25" s="3" t="str">
        <f>'Databricks Master Syllabus'!A21</f>
        <v>3. Delta Lake Internals</v>
      </c>
      <c r="D25" s="3" t="s">
        <v>421</v>
      </c>
      <c r="E25" s="3">
        <v>0</v>
      </c>
      <c r="F25" s="3"/>
      <c r="G25" s="3"/>
      <c r="H25" s="3"/>
    </row>
    <row r="26" spans="1:8" x14ac:dyDescent="0.35">
      <c r="A26" s="2">
        <v>21</v>
      </c>
      <c r="B26" s="2" t="str">
        <f>'Databricks Master Syllabus'!C22</f>
        <v>Idempotent Writes with Transaction Identifiers</v>
      </c>
      <c r="C26" s="2" t="str">
        <f>'Databricks Master Syllabus'!A22</f>
        <v>3. Delta Lake Internals</v>
      </c>
      <c r="D26" s="2" t="s">
        <v>421</v>
      </c>
      <c r="E26" s="2">
        <v>0</v>
      </c>
      <c r="F26" s="2"/>
      <c r="G26" s="2"/>
      <c r="H26" s="2"/>
    </row>
    <row r="27" spans="1:8" x14ac:dyDescent="0.35">
      <c r="A27" s="3">
        <v>22</v>
      </c>
      <c r="B27" s="3" t="str">
        <f>'Databricks Master Syllabus'!C23</f>
        <v>Table History</v>
      </c>
      <c r="C27" s="3" t="str">
        <f>'Databricks Master Syllabus'!A23</f>
        <v>4. Delta Lake Operations</v>
      </c>
      <c r="D27" s="3" t="s">
        <v>421</v>
      </c>
      <c r="E27" s="3">
        <v>0</v>
      </c>
      <c r="F27" s="3"/>
      <c r="G27" s="3"/>
      <c r="H27" s="3"/>
    </row>
    <row r="28" spans="1:8" x14ac:dyDescent="0.35">
      <c r="A28" s="2">
        <v>23</v>
      </c>
      <c r="B28" s="2" t="str">
        <f>'Databricks Master Syllabus'!C24</f>
        <v>Time Travel</v>
      </c>
      <c r="C28" s="2" t="str">
        <f>'Databricks Master Syllabus'!A24</f>
        <v>4. Delta Lake Operations</v>
      </c>
      <c r="D28" s="2" t="s">
        <v>421</v>
      </c>
      <c r="E28" s="2">
        <v>0</v>
      </c>
      <c r="F28" s="2"/>
      <c r="G28" s="2"/>
      <c r="H28" s="2"/>
    </row>
    <row r="29" spans="1:8" x14ac:dyDescent="0.35">
      <c r="A29" s="3">
        <v>24</v>
      </c>
      <c r="B29" s="3" t="str">
        <f>'Databricks Master Syllabus'!C25</f>
        <v>Log Retention vs Deleted-File Retention</v>
      </c>
      <c r="C29" s="3" t="str">
        <f>'Databricks Master Syllabus'!A25</f>
        <v>4. Delta Lake Operations</v>
      </c>
      <c r="D29" s="3" t="s">
        <v>421</v>
      </c>
      <c r="E29" s="3">
        <v>0</v>
      </c>
      <c r="F29" s="3"/>
      <c r="G29" s="3"/>
      <c r="H29" s="3"/>
    </row>
    <row r="30" spans="1:8" x14ac:dyDescent="0.35">
      <c r="A30" s="2">
        <v>25</v>
      </c>
      <c r="B30" s="2" t="str">
        <f>'Databricks Master Syllabus'!C26</f>
        <v>VACUUM</v>
      </c>
      <c r="C30" s="2" t="str">
        <f>'Databricks Master Syllabus'!A26</f>
        <v>4. Delta Lake Operations</v>
      </c>
      <c r="D30" s="2" t="s">
        <v>421</v>
      </c>
      <c r="E30" s="2">
        <v>0</v>
      </c>
      <c r="F30" s="2"/>
      <c r="G30" s="2"/>
      <c r="H30" s="2"/>
    </row>
    <row r="31" spans="1:8" x14ac:dyDescent="0.35">
      <c r="A31" s="3">
        <v>26</v>
      </c>
      <c r="B31" s="3" t="str">
        <f>'Databricks Master Syllabus'!C27</f>
        <v>RESTORE</v>
      </c>
      <c r="C31" s="3" t="str">
        <f>'Databricks Master Syllabus'!A27</f>
        <v>4. Delta Lake Operations</v>
      </c>
      <c r="D31" s="3" t="s">
        <v>421</v>
      </c>
      <c r="E31" s="3">
        <v>0</v>
      </c>
      <c r="F31" s="3"/>
      <c r="G31" s="3"/>
      <c r="H31" s="3"/>
    </row>
    <row r="32" spans="1:8" x14ac:dyDescent="0.35">
      <c r="A32" s="2">
        <v>27</v>
      </c>
      <c r="B32" s="2" t="str">
        <f>'Databricks Master Syllabus'!C28</f>
        <v>Schema Enforcement</v>
      </c>
      <c r="C32" s="2" t="str">
        <f>'Databricks Master Syllabus'!A28</f>
        <v>4. Delta Lake Operations</v>
      </c>
      <c r="D32" s="2" t="s">
        <v>421</v>
      </c>
      <c r="E32" s="2">
        <v>0</v>
      </c>
      <c r="F32" s="2"/>
      <c r="G32" s="2"/>
      <c r="H32" s="2"/>
    </row>
    <row r="33" spans="1:8" x14ac:dyDescent="0.35">
      <c r="A33" s="3">
        <v>28</v>
      </c>
      <c r="B33" s="3" t="str">
        <f>'Databricks Master Syllabus'!C29</f>
        <v>Schema Evolution</v>
      </c>
      <c r="C33" s="3" t="str">
        <f>'Databricks Master Syllabus'!A29</f>
        <v>4. Delta Lake Operations</v>
      </c>
      <c r="D33" s="3" t="s">
        <v>421</v>
      </c>
      <c r="E33" s="3">
        <v>0</v>
      </c>
      <c r="F33" s="3"/>
      <c r="G33" s="3"/>
      <c r="H33" s="3"/>
    </row>
    <row r="34" spans="1:8" x14ac:dyDescent="0.35">
      <c r="A34" s="2">
        <v>29</v>
      </c>
      <c r="B34" s="2" t="str">
        <f>'Databricks Master Syllabus'!C30</f>
        <v>MERGE Upserts</v>
      </c>
      <c r="C34" s="2" t="str">
        <f>'Databricks Master Syllabus'!A30</f>
        <v>4. Delta Lake Operations</v>
      </c>
      <c r="D34" s="2" t="s">
        <v>421</v>
      </c>
      <c r="E34" s="2">
        <v>0</v>
      </c>
      <c r="F34" s="2"/>
      <c r="G34" s="2"/>
      <c r="H34" s="2"/>
    </row>
    <row r="35" spans="1:8" x14ac:dyDescent="0.35">
      <c r="A35" s="3">
        <v>30</v>
      </c>
      <c r="B35" s="3" t="str">
        <f>'Databricks Master Syllabus'!C31</f>
        <v>Change Data Feed</v>
      </c>
      <c r="C35" s="3" t="str">
        <f>'Databricks Master Syllabus'!A31</f>
        <v>4. Delta Lake Operations</v>
      </c>
      <c r="D35" s="3" t="s">
        <v>421</v>
      </c>
      <c r="E35" s="3">
        <v>0</v>
      </c>
      <c r="F35" s="3"/>
      <c r="G35" s="3"/>
      <c r="H35" s="3"/>
    </row>
    <row r="36" spans="1:8" x14ac:dyDescent="0.35">
      <c r="A36" s="2">
        <v>31</v>
      </c>
      <c r="B36" s="2" t="str">
        <f>'Databricks Master Syllabus'!C32</f>
        <v>OPTIMIZE and Compaction</v>
      </c>
      <c r="C36" s="2" t="str">
        <f>'Databricks Master Syllabus'!A32</f>
        <v>5. Data Layout &amp; Table Optimization</v>
      </c>
      <c r="D36" s="2" t="s">
        <v>421</v>
      </c>
      <c r="E36" s="2">
        <v>0</v>
      </c>
      <c r="F36" s="2"/>
      <c r="G36" s="2"/>
      <c r="H36" s="2"/>
    </row>
    <row r="37" spans="1:8" x14ac:dyDescent="0.35">
      <c r="A37" s="3">
        <v>32</v>
      </c>
      <c r="B37" s="3" t="str">
        <f>'Databricks Master Syllabus'!C33</f>
        <v>Data Skipping and File Statistics</v>
      </c>
      <c r="C37" s="3" t="str">
        <f>'Databricks Master Syllabus'!A33</f>
        <v>5. Data Layout &amp; Table Optimization</v>
      </c>
      <c r="D37" s="3" t="s">
        <v>421</v>
      </c>
      <c r="E37" s="3">
        <v>0</v>
      </c>
      <c r="F37" s="3"/>
      <c r="G37" s="3"/>
      <c r="H37" s="3"/>
    </row>
    <row r="38" spans="1:8" x14ac:dyDescent="0.35">
      <c r="A38" s="2">
        <v>33</v>
      </c>
      <c r="B38" s="2" t="str">
        <f>'Databricks Master Syllabus'!C34</f>
        <v>Z-Order</v>
      </c>
      <c r="C38" s="2" t="str">
        <f>'Databricks Master Syllabus'!A34</f>
        <v>5. Data Layout &amp; Table Optimization</v>
      </c>
      <c r="D38" s="2" t="s">
        <v>421</v>
      </c>
      <c r="E38" s="2">
        <v>0</v>
      </c>
      <c r="F38" s="2"/>
      <c r="G38" s="2"/>
      <c r="H38" s="2"/>
    </row>
    <row r="39" spans="1:8" x14ac:dyDescent="0.35">
      <c r="A39" s="3">
        <v>34</v>
      </c>
      <c r="B39" s="3" t="str">
        <f>'Databricks Master Syllabus'!C35</f>
        <v>Liquid Clustering</v>
      </c>
      <c r="C39" s="3" t="str">
        <f>'Databricks Master Syllabus'!A35</f>
        <v>5. Data Layout &amp; Table Optimization</v>
      </c>
      <c r="D39" s="3" t="s">
        <v>421</v>
      </c>
      <c r="E39" s="3">
        <v>0</v>
      </c>
      <c r="F39" s="3"/>
      <c r="G39" s="3"/>
      <c r="H39" s="3"/>
    </row>
    <row r="40" spans="1:8" x14ac:dyDescent="0.35">
      <c r="A40" s="2">
        <v>35</v>
      </c>
      <c r="B40" s="2" t="str">
        <f>'Databricks Master Syllabus'!C36</f>
        <v>Deletion Vectors</v>
      </c>
      <c r="C40" s="2" t="str">
        <f>'Databricks Master Syllabus'!A36</f>
        <v>5. Data Layout &amp; Table Optimization</v>
      </c>
      <c r="D40" s="2" t="s">
        <v>421</v>
      </c>
      <c r="E40" s="2">
        <v>0</v>
      </c>
      <c r="F40" s="2"/>
      <c r="G40" s="2"/>
      <c r="H40" s="2"/>
    </row>
    <row r="41" spans="1:8" x14ac:dyDescent="0.35">
      <c r="A41" s="3">
        <v>36</v>
      </c>
      <c r="B41" s="3" t="str">
        <f>'Databricks Master Syllabus'!C37</f>
        <v>Predictive Optimization</v>
      </c>
      <c r="C41" s="3" t="str">
        <f>'Databricks Master Syllabus'!A37</f>
        <v>5. Data Layout &amp; Table Optimization</v>
      </c>
      <c r="D41" s="3" t="s">
        <v>421</v>
      </c>
      <c r="E41" s="3">
        <v>0</v>
      </c>
      <c r="F41" s="3"/>
      <c r="G41" s="3"/>
      <c r="H41" s="3"/>
    </row>
    <row r="42" spans="1:8" x14ac:dyDescent="0.35">
      <c r="A42" s="2">
        <v>37</v>
      </c>
      <c r="B42" s="2" t="str">
        <f>'Databricks Master Syllabus'!C38</f>
        <v>Partitioning on Databricks</v>
      </c>
      <c r="C42" s="2" t="str">
        <f>'Databricks Master Syllabus'!A38</f>
        <v>5. Data Layout &amp; Table Optimization</v>
      </c>
      <c r="D42" s="2" t="s">
        <v>421</v>
      </c>
      <c r="E42" s="2">
        <v>0</v>
      </c>
      <c r="F42" s="2"/>
      <c r="G42" s="2"/>
      <c r="H42" s="2"/>
    </row>
    <row r="43" spans="1:8" x14ac:dyDescent="0.35">
      <c r="A43" s="3">
        <v>38</v>
      </c>
      <c r="B43" s="3" t="str">
        <f>'Databricks Master Syllabus'!C39</f>
        <v>Unity Catalog Object Model</v>
      </c>
      <c r="C43" s="3" t="str">
        <f>'Databricks Master Syllabus'!A39</f>
        <v>6. Unity Catalog &amp; Governance</v>
      </c>
      <c r="D43" s="3" t="s">
        <v>421</v>
      </c>
      <c r="E43" s="3">
        <v>0</v>
      </c>
      <c r="F43" s="3"/>
      <c r="G43" s="3"/>
      <c r="H43" s="3"/>
    </row>
    <row r="44" spans="1:8" x14ac:dyDescent="0.35">
      <c r="A44" s="2">
        <v>39</v>
      </c>
      <c r="B44" s="2" t="str">
        <f>'Databricks Master Syllabus'!C40</f>
        <v>Managed vs External Tables</v>
      </c>
      <c r="C44" s="2" t="str">
        <f>'Databricks Master Syllabus'!A40</f>
        <v>6. Unity Catalog &amp; Governance</v>
      </c>
      <c r="D44" s="2" t="s">
        <v>421</v>
      </c>
      <c r="E44" s="2">
        <v>0</v>
      </c>
      <c r="F44" s="2"/>
      <c r="G44" s="2"/>
      <c r="H44" s="2"/>
    </row>
    <row r="45" spans="1:8" x14ac:dyDescent="0.35">
      <c r="A45" s="3">
        <v>40</v>
      </c>
      <c r="B45" s="3" t="str">
        <f>'Databricks Master Syllabus'!C41</f>
        <v>Volumes</v>
      </c>
      <c r="C45" s="3" t="str">
        <f>'Databricks Master Syllabus'!A41</f>
        <v>6. Unity Catalog &amp; Governance</v>
      </c>
      <c r="D45" s="3" t="s">
        <v>421</v>
      </c>
      <c r="E45" s="3">
        <v>0</v>
      </c>
      <c r="F45" s="3"/>
      <c r="G45" s="3"/>
      <c r="H45" s="3"/>
    </row>
    <row r="46" spans="1:8" ht="28" x14ac:dyDescent="0.35">
      <c r="A46" s="2">
        <v>41</v>
      </c>
      <c r="B46" s="2" t="str">
        <f>'Databricks Master Syllabus'!C42</f>
        <v>Storage Credentials and External Locations on Azure</v>
      </c>
      <c r="C46" s="2" t="str">
        <f>'Databricks Master Syllabus'!A42</f>
        <v>6. Unity Catalog &amp; Governance</v>
      </c>
      <c r="D46" s="2" t="s">
        <v>421</v>
      </c>
      <c r="E46" s="2">
        <v>0</v>
      </c>
      <c r="F46" s="2"/>
      <c r="G46" s="2"/>
      <c r="H46" s="2"/>
    </row>
    <row r="47" spans="1:8" x14ac:dyDescent="0.35">
      <c r="A47" s="3">
        <v>42</v>
      </c>
      <c r="B47" s="3" t="str">
        <f>'Databricks Master Syllabus'!C43</f>
        <v>Privileges and Inheritance</v>
      </c>
      <c r="C47" s="3" t="str">
        <f>'Databricks Master Syllabus'!A43</f>
        <v>6. Unity Catalog &amp; Governance</v>
      </c>
      <c r="D47" s="3" t="s">
        <v>421</v>
      </c>
      <c r="E47" s="3">
        <v>0</v>
      </c>
      <c r="F47" s="3"/>
      <c r="G47" s="3"/>
      <c r="H47" s="3"/>
    </row>
    <row r="48" spans="1:8" x14ac:dyDescent="0.35">
      <c r="A48" s="2">
        <v>43</v>
      </c>
      <c r="B48" s="2" t="str">
        <f>'Databricks Master Syllabus'!C44</f>
        <v>Ownership and the Missing DENY</v>
      </c>
      <c r="C48" s="2" t="str">
        <f>'Databricks Master Syllabus'!A44</f>
        <v>6. Unity Catalog &amp; Governance</v>
      </c>
      <c r="D48" s="2" t="s">
        <v>421</v>
      </c>
      <c r="E48" s="2">
        <v>0</v>
      </c>
      <c r="F48" s="2"/>
      <c r="G48" s="2"/>
      <c r="H48" s="2"/>
    </row>
    <row r="49" spans="1:8" x14ac:dyDescent="0.35">
      <c r="A49" s="3">
        <v>44</v>
      </c>
      <c r="B49" s="3" t="str">
        <f>'Databricks Master Syllabus'!C45</f>
        <v>Row Filters and Column Masks</v>
      </c>
      <c r="C49" s="3" t="str">
        <f>'Databricks Master Syllabus'!A45</f>
        <v>6. Unity Catalog &amp; Governance</v>
      </c>
      <c r="D49" s="3" t="s">
        <v>421</v>
      </c>
      <c r="E49" s="3">
        <v>0</v>
      </c>
      <c r="F49" s="3"/>
      <c r="G49" s="3"/>
      <c r="H49" s="3"/>
    </row>
    <row r="50" spans="1:8" x14ac:dyDescent="0.35">
      <c r="A50" s="2">
        <v>45</v>
      </c>
      <c r="B50" s="2" t="str">
        <f>'Databricks Master Syllabus'!C46</f>
        <v>ABAC and Dynamic Views</v>
      </c>
      <c r="C50" s="2" t="str">
        <f>'Databricks Master Syllabus'!A46</f>
        <v>6. Unity Catalog &amp; Governance</v>
      </c>
      <c r="D50" s="2" t="s">
        <v>421</v>
      </c>
      <c r="E50" s="2">
        <v>0</v>
      </c>
      <c r="F50" s="2"/>
      <c r="G50" s="2"/>
      <c r="H50" s="2"/>
    </row>
    <row r="51" spans="1:8" x14ac:dyDescent="0.35">
      <c r="A51" s="3">
        <v>46</v>
      </c>
      <c r="B51" s="3" t="str">
        <f>'Databricks Master Syllabus'!C47</f>
        <v>Lineage and Audit</v>
      </c>
      <c r="C51" s="3" t="str">
        <f>'Databricks Master Syllabus'!A47</f>
        <v>6. Unity Catalog &amp; Governance</v>
      </c>
      <c r="D51" s="3" t="s">
        <v>421</v>
      </c>
      <c r="E51" s="3">
        <v>0</v>
      </c>
      <c r="F51" s="3"/>
      <c r="G51" s="3"/>
      <c r="H51" s="3"/>
    </row>
    <row r="52" spans="1:8" x14ac:dyDescent="0.35">
      <c r="A52" s="2">
        <v>47</v>
      </c>
      <c r="B52" s="2" t="str">
        <f>'Databricks Master Syllabus'!C48</f>
        <v>Serverless vs Classic Compute</v>
      </c>
      <c r="C52" s="2" t="str">
        <f>'Databricks Master Syllabus'!A48</f>
        <v>7. Compute &amp; Cost</v>
      </c>
      <c r="D52" s="2" t="s">
        <v>421</v>
      </c>
      <c r="E52" s="2">
        <v>0</v>
      </c>
      <c r="F52" s="2"/>
      <c r="G52" s="2"/>
      <c r="H52" s="2"/>
    </row>
    <row r="53" spans="1:8" x14ac:dyDescent="0.35">
      <c r="A53" s="3">
        <v>48</v>
      </c>
      <c r="B53" s="3" t="str">
        <f>'Databricks Master Syllabus'!C49</f>
        <v>All-Purpose vs Job Compute</v>
      </c>
      <c r="C53" s="3" t="str">
        <f>'Databricks Master Syllabus'!A49</f>
        <v>7. Compute &amp; Cost</v>
      </c>
      <c r="D53" s="3" t="s">
        <v>421</v>
      </c>
      <c r="E53" s="3">
        <v>0</v>
      </c>
      <c r="F53" s="3"/>
      <c r="G53" s="3"/>
      <c r="H53" s="3"/>
    </row>
    <row r="54" spans="1:8" x14ac:dyDescent="0.35">
      <c r="A54" s="2">
        <v>49</v>
      </c>
      <c r="B54" s="2" t="str">
        <f>'Databricks Master Syllabus'!C50</f>
        <v>SQL Warehouses</v>
      </c>
      <c r="C54" s="2" t="str">
        <f>'Databricks Master Syllabus'!A50</f>
        <v>7. Compute &amp; Cost</v>
      </c>
      <c r="D54" s="2" t="s">
        <v>421</v>
      </c>
      <c r="E54" s="2">
        <v>0</v>
      </c>
      <c r="F54" s="2"/>
      <c r="G54" s="2"/>
      <c r="H54" s="2"/>
    </row>
    <row r="55" spans="1:8" x14ac:dyDescent="0.35">
      <c r="A55" s="3">
        <v>50</v>
      </c>
      <c r="B55" s="3" t="str">
        <f>'Databricks Master Syllabus'!C51</f>
        <v>Access Modes</v>
      </c>
      <c r="C55" s="3" t="str">
        <f>'Databricks Master Syllabus'!A51</f>
        <v>7. Compute &amp; Cost</v>
      </c>
      <c r="D55" s="3" t="s">
        <v>421</v>
      </c>
      <c r="E55" s="3">
        <v>0</v>
      </c>
      <c r="F55" s="3"/>
      <c r="G55" s="3"/>
      <c r="H55" s="3"/>
    </row>
    <row r="56" spans="1:8" x14ac:dyDescent="0.35">
      <c r="A56" s="2">
        <v>51</v>
      </c>
      <c r="B56" s="2" t="str">
        <f>'Databricks Master Syllabus'!C52</f>
        <v>Photon and Runtime Selection</v>
      </c>
      <c r="C56" s="2" t="str">
        <f>'Databricks Master Syllabus'!A52</f>
        <v>7. Compute &amp; Cost</v>
      </c>
      <c r="D56" s="2" t="s">
        <v>421</v>
      </c>
      <c r="E56" s="2">
        <v>0</v>
      </c>
      <c r="F56" s="2"/>
      <c r="G56" s="2"/>
      <c r="H56" s="2"/>
    </row>
    <row r="57" spans="1:8" ht="28" x14ac:dyDescent="0.35">
      <c r="A57" s="3">
        <v>52</v>
      </c>
      <c r="B57" s="3" t="str">
        <f>'Databricks Master Syllabus'!C53</f>
        <v>Compute Policies, Pools and Autoscaling</v>
      </c>
      <c r="C57" s="3" t="str">
        <f>'Databricks Master Syllabus'!A53</f>
        <v>7. Compute &amp; Cost</v>
      </c>
      <c r="D57" s="3" t="s">
        <v>421</v>
      </c>
      <c r="E57" s="3">
        <v>0</v>
      </c>
      <c r="F57" s="3"/>
      <c r="G57" s="3"/>
      <c r="H57" s="3"/>
    </row>
    <row r="58" spans="1:8" x14ac:dyDescent="0.35">
      <c r="A58" s="2">
        <v>53</v>
      </c>
      <c r="B58" s="2" t="str">
        <f>'Databricks Master Syllabus'!C54</f>
        <v>DBUs and Cost Levers</v>
      </c>
      <c r="C58" s="2" t="str">
        <f>'Databricks Master Syllabus'!A54</f>
        <v>7. Compute &amp; Cost</v>
      </c>
      <c r="D58" s="2" t="s">
        <v>421</v>
      </c>
      <c r="E58" s="2">
        <v>0</v>
      </c>
      <c r="F58" s="2"/>
      <c r="G58" s="2"/>
      <c r="H58" s="2"/>
    </row>
    <row r="59" spans="1:8" x14ac:dyDescent="0.35">
      <c r="A59" s="3">
        <v>54</v>
      </c>
      <c r="B59" s="3" t="str">
        <f>'Databricks Master Syllabus'!C55</f>
        <v>Spark Execution Model</v>
      </c>
      <c r="C59" s="3" t="str">
        <f>'Databricks Master Syllabus'!A55</f>
        <v>8. Spark &amp; Transformation</v>
      </c>
      <c r="D59" s="3" t="s">
        <v>421</v>
      </c>
      <c r="E59" s="3">
        <v>0</v>
      </c>
      <c r="F59" s="3"/>
      <c r="G59" s="3"/>
      <c r="H59" s="3"/>
    </row>
    <row r="60" spans="1:8" ht="28" x14ac:dyDescent="0.35">
      <c r="A60" s="2">
        <v>55</v>
      </c>
      <c r="B60" s="2" t="str">
        <f>'Databricks Master Syllabus'!C56</f>
        <v>DataFrame and SQL Transformations</v>
      </c>
      <c r="C60" s="2" t="str">
        <f>'Databricks Master Syllabus'!A56</f>
        <v>8. Spark &amp; Transformation</v>
      </c>
      <c r="D60" s="2" t="s">
        <v>421</v>
      </c>
      <c r="E60" s="2">
        <v>0</v>
      </c>
      <c r="F60" s="2"/>
      <c r="G60" s="2"/>
      <c r="H60" s="2"/>
    </row>
    <row r="61" spans="1:8" x14ac:dyDescent="0.35">
      <c r="A61" s="3">
        <v>56</v>
      </c>
      <c r="B61" s="3" t="str">
        <f>'Databricks Master Syllabus'!C57</f>
        <v>Joins, Unions and Deduplication</v>
      </c>
      <c r="C61" s="3" t="str">
        <f>'Databricks Master Syllabus'!A57</f>
        <v>8. Spark &amp; Transformation</v>
      </c>
      <c r="D61" s="3" t="s">
        <v>421</v>
      </c>
      <c r="E61" s="3">
        <v>0</v>
      </c>
      <c r="F61" s="3"/>
      <c r="G61" s="3"/>
      <c r="H61" s="3"/>
    </row>
    <row r="62" spans="1:8" x14ac:dyDescent="0.35">
      <c r="A62" s="2">
        <v>57</v>
      </c>
      <c r="B62" s="2" t="str">
        <f>'Databricks Master Syllabus'!C58</f>
        <v>Bronze to Silver to Gold</v>
      </c>
      <c r="C62" s="2" t="str">
        <f>'Databricks Master Syllabus'!A58</f>
        <v>8. Spark &amp; Transformation</v>
      </c>
      <c r="D62" s="2" t="s">
        <v>421</v>
      </c>
      <c r="E62" s="2">
        <v>0</v>
      </c>
      <c r="F62" s="2"/>
      <c r="G62" s="2"/>
      <c r="H62" s="2"/>
    </row>
    <row r="63" spans="1:8" ht="28" x14ac:dyDescent="0.35">
      <c r="A63" s="3">
        <v>58</v>
      </c>
      <c r="B63" s="3" t="str">
        <f>'Databricks Master Syllabus'!C59</f>
        <v>AQE, Broadcast and Shuffle Partitions</v>
      </c>
      <c r="C63" s="3" t="str">
        <f>'Databricks Master Syllabus'!A59</f>
        <v>8. Spark &amp; Transformation</v>
      </c>
      <c r="D63" s="3" t="s">
        <v>421</v>
      </c>
      <c r="E63" s="3">
        <v>0</v>
      </c>
      <c r="F63" s="3"/>
      <c r="G63" s="3"/>
      <c r="H63" s="3"/>
    </row>
    <row r="64" spans="1:8" x14ac:dyDescent="0.35">
      <c r="A64" s="2">
        <v>59</v>
      </c>
      <c r="B64" s="2" t="str">
        <f>'Databricks Master Syllabus'!C60</f>
        <v>Skew, Salting and Spill</v>
      </c>
      <c r="C64" s="2" t="str">
        <f>'Databricks Master Syllabus'!A60</f>
        <v>8. Spark &amp; Transformation</v>
      </c>
      <c r="D64" s="2" t="s">
        <v>421</v>
      </c>
      <c r="E64" s="2">
        <v>0</v>
      </c>
      <c r="F64" s="2"/>
      <c r="G64" s="2"/>
      <c r="H64" s="2"/>
    </row>
    <row r="65" spans="1:8" x14ac:dyDescent="0.35">
      <c r="A65" s="3">
        <v>60</v>
      </c>
      <c r="B65" s="3" t="str">
        <f>'Databricks Master Syllabus'!C61</f>
        <v>Disk Cache and the Spark UI</v>
      </c>
      <c r="C65" s="3" t="str">
        <f>'Databricks Master Syllabus'!A61</f>
        <v>8. Spark &amp; Transformation</v>
      </c>
      <c r="D65" s="3" t="s">
        <v>421</v>
      </c>
      <c r="E65" s="3">
        <v>0</v>
      </c>
      <c r="F65" s="3"/>
      <c r="G65" s="3"/>
      <c r="H65" s="3"/>
    </row>
    <row r="66" spans="1:8" x14ac:dyDescent="0.35">
      <c r="A66" s="2">
        <v>61</v>
      </c>
      <c r="B66" s="2" t="str">
        <f>'Databricks Master Syllabus'!C62</f>
        <v>Choosing an Ingestion Method</v>
      </c>
      <c r="C66" s="2" t="str">
        <f>'Databricks Master Syllabus'!A62</f>
        <v>9. Ingestion &amp; Streaming</v>
      </c>
      <c r="D66" s="2" t="s">
        <v>421</v>
      </c>
      <c r="E66" s="2">
        <v>0</v>
      </c>
      <c r="F66" s="2"/>
      <c r="G66" s="2"/>
      <c r="H66" s="2"/>
    </row>
    <row r="67" spans="1:8" x14ac:dyDescent="0.35">
      <c r="A67" s="3">
        <v>62</v>
      </c>
      <c r="B67" s="3" t="str">
        <f>'Databricks Master Syllabus'!C63</f>
        <v>COPY INTO</v>
      </c>
      <c r="C67" s="3" t="str">
        <f>'Databricks Master Syllabus'!A63</f>
        <v>9. Ingestion &amp; Streaming</v>
      </c>
      <c r="D67" s="3" t="s">
        <v>421</v>
      </c>
      <c r="E67" s="3">
        <v>0</v>
      </c>
      <c r="F67" s="3"/>
      <c r="G67" s="3"/>
      <c r="H67" s="3"/>
    </row>
    <row r="68" spans="1:8" x14ac:dyDescent="0.35">
      <c r="A68" s="2">
        <v>63</v>
      </c>
      <c r="B68" s="2" t="str">
        <f>'Databricks Master Syllabus'!C64</f>
        <v>Auto Loader File Detection</v>
      </c>
      <c r="C68" s="2" t="str">
        <f>'Databricks Master Syllabus'!A64</f>
        <v>9. Ingestion &amp; Streaming</v>
      </c>
      <c r="D68" s="2" t="s">
        <v>421</v>
      </c>
      <c r="E68" s="2">
        <v>0</v>
      </c>
      <c r="F68" s="2"/>
      <c r="G68" s="2"/>
      <c r="H68" s="2"/>
    </row>
    <row r="69" spans="1:8" ht="28" x14ac:dyDescent="0.35">
      <c r="A69" s="3">
        <v>64</v>
      </c>
      <c r="B69" s="3" t="str">
        <f>'Databricks Master Syllabus'!C65</f>
        <v>Auto Loader Schema Inference and Evolution</v>
      </c>
      <c r="C69" s="3" t="str">
        <f>'Databricks Master Syllabus'!A65</f>
        <v>9. Ingestion &amp; Streaming</v>
      </c>
      <c r="D69" s="3" t="s">
        <v>421</v>
      </c>
      <c r="E69" s="3">
        <v>0</v>
      </c>
      <c r="F69" s="3"/>
      <c r="G69" s="3"/>
      <c r="H69" s="3"/>
    </row>
    <row r="70" spans="1:8" x14ac:dyDescent="0.35">
      <c r="A70" s="2">
        <v>65</v>
      </c>
      <c r="B70" s="2" t="str">
        <f>'Databricks Master Syllabus'!C66</f>
        <v>Structured Streaming Checkpoints</v>
      </c>
      <c r="C70" s="2" t="str">
        <f>'Databricks Master Syllabus'!A66</f>
        <v>9. Ingestion &amp; Streaming</v>
      </c>
      <c r="D70" s="2" t="s">
        <v>421</v>
      </c>
      <c r="E70" s="2">
        <v>0</v>
      </c>
      <c r="F70" s="2"/>
      <c r="G70" s="2"/>
      <c r="H70" s="2"/>
    </row>
    <row r="71" spans="1:8" ht="28" x14ac:dyDescent="0.35">
      <c r="A71" s="3">
        <v>66</v>
      </c>
      <c r="B71" s="3" t="str">
        <f>'Databricks Master Syllabus'!C67</f>
        <v>Triggers, Watermarks and Output Modes</v>
      </c>
      <c r="C71" s="3" t="str">
        <f>'Databricks Master Syllabus'!A67</f>
        <v>9. Ingestion &amp; Streaming</v>
      </c>
      <c r="D71" s="3" t="s">
        <v>421</v>
      </c>
      <c r="E71" s="3">
        <v>0</v>
      </c>
      <c r="F71" s="3"/>
      <c r="G71" s="3"/>
      <c r="H71" s="3"/>
    </row>
    <row r="72" spans="1:8" x14ac:dyDescent="0.35">
      <c r="A72" s="2">
        <v>67</v>
      </c>
      <c r="B72" s="2" t="str">
        <f>'Databricks Master Syllabus'!C68</f>
        <v>foreachBatch and Exactly-Once</v>
      </c>
      <c r="C72" s="2" t="str">
        <f>'Databricks Master Syllabus'!A68</f>
        <v>9. Ingestion &amp; Streaming</v>
      </c>
      <c r="D72" s="2" t="s">
        <v>421</v>
      </c>
      <c r="E72" s="2">
        <v>0</v>
      </c>
      <c r="F72" s="2"/>
      <c r="G72" s="2"/>
      <c r="H72" s="2"/>
    </row>
    <row r="73" spans="1:8" x14ac:dyDescent="0.35">
      <c r="A73" s="3">
        <v>68</v>
      </c>
      <c r="B73" s="3" t="str">
        <f>'Databricks Master Syllabus'!C69</f>
        <v>Recovery, Replay and Backfill</v>
      </c>
      <c r="C73" s="3" t="str">
        <f>'Databricks Master Syllabus'!A69</f>
        <v>9. Ingestion &amp; Streaming</v>
      </c>
      <c r="D73" s="3" t="s">
        <v>421</v>
      </c>
      <c r="E73" s="3">
        <v>0</v>
      </c>
      <c r="F73" s="3"/>
      <c r="G73" s="3"/>
      <c r="H73" s="3"/>
    </row>
    <row r="74" spans="1:8" x14ac:dyDescent="0.35">
      <c r="A74" s="2">
        <v>69</v>
      </c>
      <c r="B74" s="2" t="str">
        <f>'Databricks Master Syllabus'!C70</f>
        <v>Pipeline Datasets and Flows</v>
      </c>
      <c r="C74" s="2" t="str">
        <f>'Databricks Master Syllabus'!A70</f>
        <v>10. Pipelines &amp; Orchestration</v>
      </c>
      <c r="D74" s="2" t="s">
        <v>421</v>
      </c>
      <c r="E74" s="2">
        <v>0</v>
      </c>
      <c r="F74" s="2"/>
      <c r="G74" s="2"/>
      <c r="H74" s="2"/>
    </row>
    <row r="75" spans="1:8" x14ac:dyDescent="0.35">
      <c r="A75" s="3">
        <v>70</v>
      </c>
      <c r="B75" s="3" t="str">
        <f>'Databricks Master Syllabus'!C71</f>
        <v>Expectations</v>
      </c>
      <c r="C75" s="3" t="str">
        <f>'Databricks Master Syllabus'!A71</f>
        <v>10. Pipelines &amp; Orchestration</v>
      </c>
      <c r="D75" s="3" t="s">
        <v>421</v>
      </c>
      <c r="E75" s="3">
        <v>0</v>
      </c>
      <c r="F75" s="3"/>
      <c r="G75" s="3"/>
      <c r="H75" s="3"/>
    </row>
    <row r="76" spans="1:8" x14ac:dyDescent="0.35">
      <c r="A76" s="2">
        <v>71</v>
      </c>
      <c r="B76" s="2" t="str">
        <f>'Databricks Master Syllabus'!C72</f>
        <v>AUTO CDC and SCD Types</v>
      </c>
      <c r="C76" s="2" t="str">
        <f>'Databricks Master Syllabus'!A72</f>
        <v>10. Pipelines &amp; Orchestration</v>
      </c>
      <c r="D76" s="2" t="s">
        <v>421</v>
      </c>
      <c r="E76" s="2">
        <v>0</v>
      </c>
      <c r="F76" s="2"/>
      <c r="G76" s="2"/>
      <c r="H76" s="2"/>
    </row>
    <row r="77" spans="1:8" x14ac:dyDescent="0.35">
      <c r="A77" s="3">
        <v>72</v>
      </c>
      <c r="B77" s="3" t="str">
        <f>'Databricks Master Syllabus'!C73</f>
        <v>Refresh vs Full Refresh</v>
      </c>
      <c r="C77" s="3" t="str">
        <f>'Databricks Master Syllabus'!A73</f>
        <v>10. Pipelines &amp; Orchestration</v>
      </c>
      <c r="D77" s="3" t="s">
        <v>421</v>
      </c>
      <c r="E77" s="3">
        <v>0</v>
      </c>
      <c r="F77" s="3"/>
      <c r="G77" s="3"/>
      <c r="H77" s="3"/>
    </row>
    <row r="78" spans="1:8" ht="28" x14ac:dyDescent="0.35">
      <c r="A78" s="2">
        <v>73</v>
      </c>
      <c r="B78" s="2" t="str">
        <f>'Databricks Master Syllabus'!C74</f>
        <v>Lakeflow Jobs: Tasks and Dependencies</v>
      </c>
      <c r="C78" s="2" t="str">
        <f>'Databricks Master Syllabus'!A74</f>
        <v>10. Pipelines &amp; Orchestration</v>
      </c>
      <c r="D78" s="2" t="s">
        <v>421</v>
      </c>
      <c r="E78" s="2">
        <v>0</v>
      </c>
      <c r="F78" s="2"/>
      <c r="G78" s="2"/>
      <c r="H78" s="2"/>
    </row>
    <row r="79" spans="1:8" x14ac:dyDescent="0.35">
      <c r="A79" s="3">
        <v>74</v>
      </c>
      <c r="B79" s="3" t="str">
        <f>'Databricks Master Syllabus'!C75</f>
        <v>Run If, Retries and Timeouts</v>
      </c>
      <c r="C79" s="3" t="str">
        <f>'Databricks Master Syllabus'!A75</f>
        <v>10. Pipelines &amp; Orchestration</v>
      </c>
      <c r="D79" s="3" t="s">
        <v>421</v>
      </c>
      <c r="E79" s="3">
        <v>0</v>
      </c>
      <c r="F79" s="3"/>
      <c r="G79" s="3"/>
      <c r="H79" s="3"/>
    </row>
    <row r="80" spans="1:8" x14ac:dyDescent="0.35">
      <c r="A80" s="2">
        <v>75</v>
      </c>
      <c r="B80" s="2" t="str">
        <f>'Databricks Master Syllabus'!C76</f>
        <v>Job Concurrency and Limits</v>
      </c>
      <c r="C80" s="2" t="str">
        <f>'Databricks Master Syllabus'!A76</f>
        <v>10. Pipelines &amp; Orchestration</v>
      </c>
      <c r="D80" s="2" t="s">
        <v>421</v>
      </c>
      <c r="E80" s="2">
        <v>0</v>
      </c>
      <c r="F80" s="2"/>
      <c r="G80" s="2"/>
      <c r="H80" s="2"/>
    </row>
    <row r="81" spans="1:8" x14ac:dyDescent="0.35">
      <c r="A81" s="3">
        <v>76</v>
      </c>
      <c r="B81" s="3" t="str">
        <f>'Databricks Master Syllabus'!C77</f>
        <v>Triggers and Repair Runs</v>
      </c>
      <c r="C81" s="3" t="str">
        <f>'Databricks Master Syllabus'!A77</f>
        <v>10. Pipelines &amp; Orchestration</v>
      </c>
      <c r="D81" s="3" t="s">
        <v>421</v>
      </c>
      <c r="E81" s="3">
        <v>0</v>
      </c>
      <c r="F81" s="3"/>
      <c r="G81" s="3"/>
      <c r="H81" s="3"/>
    </row>
    <row r="82" spans="1:8" x14ac:dyDescent="0.35">
      <c r="A82" s="2">
        <v>77</v>
      </c>
      <c r="B82" s="2" t="str">
        <f>'Databricks Master Syllabus'!C78</f>
        <v>Databricks with ADF and ADLS</v>
      </c>
      <c r="C82" s="2" t="str">
        <f>'Databricks Master Syllabus'!A78</f>
        <v>10. Pipelines &amp; Orchestration</v>
      </c>
      <c r="D82" s="2" t="s">
        <v>421</v>
      </c>
      <c r="E82" s="2">
        <v>0</v>
      </c>
      <c r="F82" s="2"/>
      <c r="G82" s="2"/>
      <c r="H82" s="2"/>
    </row>
    <row r="83" spans="1:8" x14ac:dyDescent="0.35">
      <c r="A83" s="3">
        <v>78</v>
      </c>
      <c r="B83" s="3" t="str">
        <f>'Databricks Master Syllabus'!C79</f>
        <v>Three Network Connections</v>
      </c>
      <c r="C83" s="3" t="str">
        <f>'Databricks Master Syllabus'!A79</f>
        <v>11. Azure Networking for Databricks</v>
      </c>
      <c r="D83" s="3" t="s">
        <v>421</v>
      </c>
      <c r="E83" s="3">
        <v>0</v>
      </c>
      <c r="F83" s="3"/>
      <c r="G83" s="3"/>
      <c r="H83" s="3"/>
    </row>
    <row r="84" spans="1:8" x14ac:dyDescent="0.35">
      <c r="A84" s="2">
        <v>79</v>
      </c>
      <c r="B84" s="2" t="str">
        <f>'Databricks Master Syllabus'!C80</f>
        <v>Serverless vs Hybrid Workspaces</v>
      </c>
      <c r="C84" s="2" t="str">
        <f>'Databricks Master Syllabus'!A80</f>
        <v>11. Azure Networking for Databricks</v>
      </c>
      <c r="D84" s="2" t="s">
        <v>421</v>
      </c>
      <c r="E84" s="2">
        <v>0</v>
      </c>
      <c r="F84" s="2"/>
      <c r="G84" s="2"/>
      <c r="H84" s="2"/>
    </row>
    <row r="85" spans="1:8" x14ac:dyDescent="0.35">
      <c r="A85" s="3">
        <v>80</v>
      </c>
      <c r="B85" s="3" t="str">
        <f>'Databricks Master Syllabus'!C81</f>
        <v>VNet Injection and Subnet Sizing</v>
      </c>
      <c r="C85" s="3" t="str">
        <f>'Databricks Master Syllabus'!A81</f>
        <v>11. Azure Networking for Databricks</v>
      </c>
      <c r="D85" s="3" t="s">
        <v>421</v>
      </c>
      <c r="E85" s="3">
        <v>0</v>
      </c>
      <c r="F85" s="3"/>
      <c r="G85" s="3"/>
      <c r="H85" s="3"/>
    </row>
    <row r="86" spans="1:8" x14ac:dyDescent="0.35">
      <c r="A86" s="2">
        <v>81</v>
      </c>
      <c r="B86" s="2" t="str">
        <f>'Databricks Master Syllabus'!C82</f>
        <v>Subnet Delegation and NSG Rules</v>
      </c>
      <c r="C86" s="2" t="str">
        <f>'Databricks Master Syllabus'!A82</f>
        <v>11. Azure Networking for Databricks</v>
      </c>
      <c r="D86" s="2" t="s">
        <v>421</v>
      </c>
      <c r="E86" s="2">
        <v>0</v>
      </c>
      <c r="F86" s="2"/>
      <c r="G86" s="2"/>
      <c r="H86" s="2"/>
    </row>
    <row r="87" spans="1:8" ht="28" x14ac:dyDescent="0.35">
      <c r="A87" s="3">
        <v>82</v>
      </c>
      <c r="B87" s="3" t="str">
        <f>'Databricks Master Syllabus'!C83</f>
        <v>Secure Cluster Connectivity and Egress</v>
      </c>
      <c r="C87" s="3" t="str">
        <f>'Databricks Master Syllabus'!A83</f>
        <v>11. Azure Networking for Databricks</v>
      </c>
      <c r="D87" s="3" t="s">
        <v>421</v>
      </c>
      <c r="E87" s="3">
        <v>0</v>
      </c>
      <c r="F87" s="3"/>
      <c r="G87" s="3"/>
      <c r="H87" s="3"/>
    </row>
    <row r="88" spans="1:8" x14ac:dyDescent="0.35">
      <c r="A88" s="2">
        <v>83</v>
      </c>
      <c r="B88" s="2" t="str">
        <f>'Databricks Master Syllabus'!C84</f>
        <v>Private Link: Three Kinds</v>
      </c>
      <c r="C88" s="2" t="str">
        <f>'Databricks Master Syllabus'!A84</f>
        <v>11. Azure Networking for Databricks</v>
      </c>
      <c r="D88" s="2" t="s">
        <v>421</v>
      </c>
      <c r="E88" s="2">
        <v>0</v>
      </c>
      <c r="F88" s="2"/>
      <c r="G88" s="2"/>
      <c r="H88" s="2"/>
    </row>
    <row r="89" spans="1:8" ht="28" x14ac:dyDescent="0.35">
      <c r="A89" s="3">
        <v>84</v>
      </c>
      <c r="B89" s="3" t="str">
        <f>'Databricks Master Syllabus'!C85</f>
        <v>Browser Authentication and the Transit VNet</v>
      </c>
      <c r="C89" s="3" t="str">
        <f>'Databricks Master Syllabus'!A85</f>
        <v>11. Azure Networking for Databricks</v>
      </c>
      <c r="D89" s="3" t="s">
        <v>421</v>
      </c>
      <c r="E89" s="3">
        <v>0</v>
      </c>
      <c r="F89" s="3"/>
      <c r="G89" s="3"/>
      <c r="H89" s="3"/>
    </row>
    <row r="90" spans="1:8" ht="28" x14ac:dyDescent="0.35">
      <c r="A90" s="2">
        <v>85</v>
      </c>
      <c r="B90" s="2" t="str">
        <f>'Databricks Master Syllabus'!C86</f>
        <v>Serverless Connectivity and Storage Firewalls</v>
      </c>
      <c r="C90" s="2" t="str">
        <f>'Databricks Master Syllabus'!A86</f>
        <v>11. Azure Networking for Databricks</v>
      </c>
      <c r="D90" s="2" t="s">
        <v>421</v>
      </c>
      <c r="E90" s="2">
        <v>0</v>
      </c>
      <c r="F90" s="2"/>
      <c r="G90" s="2"/>
      <c r="H90" s="2"/>
    </row>
    <row r="91" spans="1:8" x14ac:dyDescent="0.35">
      <c r="A91" s="3">
        <v>86</v>
      </c>
      <c r="B91" s="3" t="str">
        <f>'Databricks Master Syllabus'!C87</f>
        <v>System Tables and Monitoring</v>
      </c>
      <c r="C91" s="3" t="str">
        <f>'Databricks Master Syllabus'!A87</f>
        <v>12. Operate &amp; Deploy</v>
      </c>
      <c r="D91" s="3" t="s">
        <v>421</v>
      </c>
      <c r="E91" s="3">
        <v>0</v>
      </c>
      <c r="F91" s="3"/>
      <c r="G91" s="3"/>
      <c r="H91" s="3"/>
    </row>
    <row r="92" spans="1:8" ht="28" x14ac:dyDescent="0.35">
      <c r="A92" s="2">
        <v>87</v>
      </c>
      <c r="B92" s="2" t="str">
        <f>'Databricks Master Syllabus'!C88</f>
        <v>Pipeline Event Logs and Job Run History</v>
      </c>
      <c r="C92" s="2" t="str">
        <f>'Databricks Master Syllabus'!A88</f>
        <v>12. Operate &amp; Deploy</v>
      </c>
      <c r="D92" s="2" t="s">
        <v>421</v>
      </c>
      <c r="E92" s="2">
        <v>0</v>
      </c>
      <c r="F92" s="2"/>
      <c r="G92" s="2"/>
      <c r="H92" s="2"/>
    </row>
    <row r="93" spans="1:8" x14ac:dyDescent="0.35">
      <c r="A93" s="3">
        <v>88</v>
      </c>
      <c r="B93" s="3" t="str">
        <f>'Databricks Master Syllabus'!C89</f>
        <v>Identity and Secrets</v>
      </c>
      <c r="C93" s="3" t="str">
        <f>'Databricks Master Syllabus'!A89</f>
        <v>12. Operate &amp; Deploy</v>
      </c>
      <c r="D93" s="3" t="s">
        <v>421</v>
      </c>
      <c r="E93" s="3">
        <v>0</v>
      </c>
      <c r="F93" s="3"/>
      <c r="G93" s="3"/>
      <c r="H93" s="3"/>
    </row>
    <row r="94" spans="1:8" x14ac:dyDescent="0.35">
      <c r="A94" s="2">
        <v>89</v>
      </c>
      <c r="B94" s="2" t="str">
        <f>'Databricks Master Syllabus'!C90</f>
        <v>Git Folders</v>
      </c>
      <c r="C94" s="2" t="str">
        <f>'Databricks Master Syllabus'!A90</f>
        <v>12. Operate &amp; Deploy</v>
      </c>
      <c r="D94" s="2" t="s">
        <v>421</v>
      </c>
      <c r="E94" s="2">
        <v>0</v>
      </c>
      <c r="F94" s="2"/>
      <c r="G94" s="2"/>
      <c r="H94" s="2"/>
    </row>
    <row r="95" spans="1:8" x14ac:dyDescent="0.35">
      <c r="A95" s="3">
        <v>90</v>
      </c>
      <c r="B95" s="3" t="str">
        <f>'Databricks Master Syllabus'!C91</f>
        <v>Declarative Automation Bundles</v>
      </c>
      <c r="C95" s="3" t="str">
        <f>'Databricks Master Syllabus'!A91</f>
        <v>12. Operate &amp; Deploy</v>
      </c>
      <c r="D95" s="3" t="s">
        <v>421</v>
      </c>
      <c r="E95" s="3">
        <v>0</v>
      </c>
      <c r="F95" s="3"/>
      <c r="G95" s="3"/>
      <c r="H95" s="3"/>
    </row>
    <row r="96" spans="1:8" ht="28" x14ac:dyDescent="0.35">
      <c r="A96" s="2">
        <v>91</v>
      </c>
      <c r="B96" s="2" t="str">
        <f>'Databricks Master Syllabus'!C92</f>
        <v>Running Streams in Production</v>
      </c>
      <c r="C96" s="2" t="str">
        <f>'Databricks Master Syllabus'!A92</f>
        <v>13. Production, Troubleshooting &amp; Capstone</v>
      </c>
      <c r="D96" s="2" t="s">
        <v>421</v>
      </c>
      <c r="E96" s="2">
        <v>0</v>
      </c>
      <c r="F96" s="2"/>
      <c r="G96" s="2"/>
      <c r="H96" s="2"/>
    </row>
    <row r="97" spans="1:8" ht="28" x14ac:dyDescent="0.35">
      <c r="A97" s="3">
        <v>92</v>
      </c>
      <c r="B97" s="3" t="str">
        <f>'Databricks Master Syllabus'!C93</f>
        <v>Stateful Streaming in Production</v>
      </c>
      <c r="C97" s="3" t="str">
        <f>'Databricks Master Syllabus'!A93</f>
        <v>13. Production, Troubleshooting &amp; Capstone</v>
      </c>
      <c r="D97" s="3" t="s">
        <v>421</v>
      </c>
      <c r="E97" s="3">
        <v>0</v>
      </c>
      <c r="F97" s="3"/>
      <c r="G97" s="3"/>
      <c r="H97" s="3"/>
    </row>
    <row r="98" spans="1:8" ht="28" x14ac:dyDescent="0.35">
      <c r="A98" s="2">
        <v>93</v>
      </c>
      <c r="B98" s="2" t="str">
        <f>'Databricks Master Syllabus'!C94</f>
        <v>Notifications and Alerts</v>
      </c>
      <c r="C98" s="2" t="str">
        <f>'Databricks Master Syllabus'!A94</f>
        <v>13. Production, Troubleshooting &amp; Capstone</v>
      </c>
      <c r="D98" s="2" t="s">
        <v>421</v>
      </c>
      <c r="E98" s="2">
        <v>0</v>
      </c>
      <c r="F98" s="2"/>
      <c r="G98" s="2"/>
      <c r="H98" s="2"/>
    </row>
    <row r="99" spans="1:8" ht="28" x14ac:dyDescent="0.35">
      <c r="A99" s="3">
        <v>94</v>
      </c>
      <c r="B99" s="3" t="str">
        <f>'Databricks Master Syllabus'!C95</f>
        <v>Troubleshooting a Failed Job</v>
      </c>
      <c r="C99" s="3" t="str">
        <f>'Databricks Master Syllabus'!A95</f>
        <v>13. Production, Troubleshooting &amp; Capstone</v>
      </c>
      <c r="D99" s="3" t="s">
        <v>421</v>
      </c>
      <c r="E99" s="3">
        <v>0</v>
      </c>
      <c r="F99" s="3"/>
      <c r="G99" s="3"/>
      <c r="H99" s="3"/>
    </row>
    <row r="100" spans="1:8" ht="28" x14ac:dyDescent="0.35">
      <c r="A100" s="2">
        <v>95</v>
      </c>
      <c r="B100" s="2" t="str">
        <f>'Databricks Master Syllabus'!C96</f>
        <v>Reading Errors: Conditions and SQLSTATE</v>
      </c>
      <c r="C100" s="2" t="str">
        <f>'Databricks Master Syllabus'!A96</f>
        <v>13. Production, Troubleshooting &amp; Capstone</v>
      </c>
      <c r="D100" s="2" t="s">
        <v>421</v>
      </c>
      <c r="E100" s="2">
        <v>0</v>
      </c>
      <c r="F100" s="2"/>
      <c r="G100" s="2"/>
      <c r="H100" s="2"/>
    </row>
    <row r="101" spans="1:8" ht="28" x14ac:dyDescent="0.35">
      <c r="A101" s="3">
        <v>96</v>
      </c>
      <c r="B101" s="3" t="str">
        <f>'Databricks Master Syllabus'!C97</f>
        <v>Write, Schema and MERGE Errors</v>
      </c>
      <c r="C101" s="3" t="str">
        <f>'Databricks Master Syllabus'!A97</f>
        <v>13. Production, Troubleshooting &amp; Capstone</v>
      </c>
      <c r="D101" s="3" t="s">
        <v>421</v>
      </c>
      <c r="E101" s="3">
        <v>0</v>
      </c>
      <c r="F101" s="3"/>
      <c r="G101" s="3"/>
      <c r="H101" s="3"/>
    </row>
    <row r="102" spans="1:8" ht="28" x14ac:dyDescent="0.35">
      <c r="A102" s="2">
        <v>97</v>
      </c>
      <c r="B102" s="2" t="str">
        <f>'Databricks Master Syllabus'!C98</f>
        <v>Concurrent Write Conflicts</v>
      </c>
      <c r="C102" s="2" t="str">
        <f>'Databricks Master Syllabus'!A98</f>
        <v>13. Production, Troubleshooting &amp; Capstone</v>
      </c>
      <c r="D102" s="2" t="s">
        <v>421</v>
      </c>
      <c r="E102" s="2">
        <v>0</v>
      </c>
      <c r="F102" s="2"/>
      <c r="G102" s="2"/>
      <c r="H102" s="2"/>
    </row>
    <row r="103" spans="1:8" ht="28" x14ac:dyDescent="0.35">
      <c r="A103" s="3">
        <v>98</v>
      </c>
      <c r="B103" s="3" t="str">
        <f>'Databricks Master Syllabus'!C99</f>
        <v>Streaming Errors</v>
      </c>
      <c r="C103" s="3" t="str">
        <f>'Databricks Master Syllabus'!A99</f>
        <v>13. Production, Troubleshooting &amp; Capstone</v>
      </c>
      <c r="D103" s="3" t="s">
        <v>421</v>
      </c>
      <c r="E103" s="3">
        <v>0</v>
      </c>
      <c r="F103" s="3"/>
      <c r="G103" s="3"/>
      <c r="H103" s="3"/>
    </row>
    <row r="104" spans="1:8" ht="28" x14ac:dyDescent="0.35">
      <c r="A104" s="2">
        <v>99</v>
      </c>
      <c r="B104" s="2" t="str">
        <f>'Databricks Master Syllabus'!C100</f>
        <v>File, History and Retention Errors</v>
      </c>
      <c r="C104" s="2" t="str">
        <f>'Databricks Master Syllabus'!A100</f>
        <v>13. Production, Troubleshooting &amp; Capstone</v>
      </c>
      <c r="D104" s="2" t="s">
        <v>421</v>
      </c>
      <c r="E104" s="2">
        <v>0</v>
      </c>
      <c r="F104" s="2"/>
      <c r="G104" s="2"/>
      <c r="H104" s="2"/>
    </row>
    <row r="105" spans="1:8" ht="28" x14ac:dyDescent="0.35">
      <c r="A105" s="3">
        <v>100</v>
      </c>
      <c r="B105" s="3" t="str">
        <f>'Databricks Master Syllabus'!C101</f>
        <v>Query Profile and Query History</v>
      </c>
      <c r="C105" s="3" t="str">
        <f>'Databricks Master Syllabus'!A101</f>
        <v>13. Production, Troubleshooting &amp; Capstone</v>
      </c>
      <c r="D105" s="3" t="s">
        <v>421</v>
      </c>
      <c r="E105" s="3">
        <v>0</v>
      </c>
      <c r="F105" s="3"/>
      <c r="G105" s="3"/>
      <c r="H105" s="3"/>
    </row>
    <row r="106" spans="1:8" ht="28" x14ac:dyDescent="0.35">
      <c r="A106" s="2">
        <v>101</v>
      </c>
      <c r="B106" s="2" t="str">
        <f>'Databricks Master Syllabus'!C102</f>
        <v>Compute That Won't Start</v>
      </c>
      <c r="C106" s="2" t="str">
        <f>'Databricks Master Syllabus'!A102</f>
        <v>13. Production, Troubleshooting &amp; Capstone</v>
      </c>
      <c r="D106" s="2" t="s">
        <v>421</v>
      </c>
      <c r="E106" s="2">
        <v>0</v>
      </c>
      <c r="F106" s="2"/>
      <c r="G106" s="2"/>
      <c r="H106" s="2"/>
    </row>
    <row r="107" spans="1:8" ht="28" x14ac:dyDescent="0.35">
      <c r="A107" s="3">
        <v>102</v>
      </c>
      <c r="B107" s="3" t="str">
        <f>'Databricks Master Syllabus'!C103</f>
        <v>Libraries and Init Scripts</v>
      </c>
      <c r="C107" s="3" t="str">
        <f>'Databricks Master Syllabus'!A103</f>
        <v>13. Production, Troubleshooting &amp; Capstone</v>
      </c>
      <c r="D107" s="3" t="s">
        <v>421</v>
      </c>
      <c r="E107" s="3">
        <v>0</v>
      </c>
      <c r="F107" s="3"/>
      <c r="G107" s="3"/>
      <c r="H107" s="3"/>
    </row>
    <row r="108" spans="1:8" ht="28" x14ac:dyDescent="0.35">
      <c r="A108" s="2">
        <v>103</v>
      </c>
      <c r="B108" s="2" t="str">
        <f>'Databricks Master Syllabus'!C104</f>
        <v>Runtime Lifecycle and Upgrades</v>
      </c>
      <c r="C108" s="2" t="str">
        <f>'Databricks Master Syllabus'!A104</f>
        <v>13. Production, Troubleshooting &amp; Capstone</v>
      </c>
      <c r="D108" s="2" t="s">
        <v>421</v>
      </c>
      <c r="E108" s="2">
        <v>0</v>
      </c>
      <c r="F108" s="2"/>
      <c r="G108" s="2"/>
      <c r="H108" s="2"/>
    </row>
    <row r="109" spans="1:8" ht="28" x14ac:dyDescent="0.35">
      <c r="A109" s="3">
        <v>104</v>
      </c>
      <c r="B109" s="3" t="str">
        <f>'Databricks Master Syllabus'!C105</f>
        <v>Environment Isolation and Catalog Strategy</v>
      </c>
      <c r="C109" s="3" t="str">
        <f>'Databricks Master Syllabus'!A105</f>
        <v>13. Production, Troubleshooting &amp; Capstone</v>
      </c>
      <c r="D109" s="3" t="s">
        <v>421</v>
      </c>
      <c r="E109" s="3">
        <v>0</v>
      </c>
      <c r="F109" s="3"/>
      <c r="G109" s="3"/>
      <c r="H109" s="3"/>
    </row>
    <row r="110" spans="1:8" ht="28" x14ac:dyDescent="0.35">
      <c r="A110" s="2">
        <v>105</v>
      </c>
      <c r="B110" s="2" t="str">
        <f>'Databricks Master Syllabus'!C106</f>
        <v>Encryption and Customer-Managed Keys</v>
      </c>
      <c r="C110" s="2" t="str">
        <f>'Databricks Master Syllabus'!A106</f>
        <v>13. Production, Troubleshooting &amp; Capstone</v>
      </c>
      <c r="D110" s="2" t="s">
        <v>421</v>
      </c>
      <c r="E110" s="2">
        <v>0</v>
      </c>
      <c r="F110" s="2"/>
      <c r="G110" s="2"/>
      <c r="H110" s="2"/>
    </row>
    <row r="111" spans="1:8" ht="28" x14ac:dyDescent="0.35">
      <c r="A111" s="3">
        <v>106</v>
      </c>
      <c r="B111" s="3" t="str">
        <f>'Databricks Master Syllabus'!C107</f>
        <v>High Availability and Disaster Recovery</v>
      </c>
      <c r="C111" s="3" t="str">
        <f>'Databricks Master Syllabus'!A107</f>
        <v>13. Production, Troubleshooting &amp; Capstone</v>
      </c>
      <c r="D111" s="3" t="s">
        <v>421</v>
      </c>
      <c r="E111" s="3">
        <v>0</v>
      </c>
      <c r="F111" s="3"/>
      <c r="G111" s="3"/>
      <c r="H111" s="3"/>
    </row>
    <row r="112" spans="1:8" ht="28" x14ac:dyDescent="0.35">
      <c r="A112" s="2">
        <v>107</v>
      </c>
      <c r="B112" s="2" t="str">
        <f>'Databricks Master Syllabus'!C108</f>
        <v>Testing Databricks Code</v>
      </c>
      <c r="C112" s="2" t="str">
        <f>'Databricks Master Syllabus'!A108</f>
        <v>13. Production, Troubleshooting &amp; Capstone</v>
      </c>
      <c r="D112" s="2" t="s">
        <v>421</v>
      </c>
      <c r="E112" s="2">
        <v>0</v>
      </c>
      <c r="F112" s="2"/>
      <c r="G112" s="2"/>
      <c r="H112" s="2"/>
    </row>
    <row r="113" spans="1:8" ht="28" x14ac:dyDescent="0.35">
      <c r="A113" s="3">
        <v>108</v>
      </c>
      <c r="B113" s="3" t="str">
        <f>'Databricks Master Syllabus'!C109</f>
        <v>Capstone: End-to-End Medallion Pipeline</v>
      </c>
      <c r="C113" s="3" t="str">
        <f>'Databricks Master Syllabus'!A109</f>
        <v>13. Production, Troubleshooting &amp; Capstone</v>
      </c>
      <c r="D113" s="3" t="s">
        <v>421</v>
      </c>
      <c r="E113" s="3">
        <v>0</v>
      </c>
      <c r="F113" s="3"/>
      <c r="G113" s="3"/>
      <c r="H113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70" customWidth="1"/>
    <col min="3" max="3" width="60" customWidth="1"/>
  </cols>
  <sheetData>
    <row r="1" spans="1:3" x14ac:dyDescent="0.35">
      <c r="A1" s="1" t="s">
        <v>428</v>
      </c>
      <c r="B1" s="1" t="s">
        <v>429</v>
      </c>
      <c r="C1" s="1" t="s">
        <v>430</v>
      </c>
    </row>
    <row r="2" spans="1:3" ht="28" x14ac:dyDescent="0.35">
      <c r="A2" s="2" t="s">
        <v>431</v>
      </c>
      <c r="B2" s="2" t="s">
        <v>432</v>
      </c>
      <c r="C2" s="2" t="s">
        <v>433</v>
      </c>
    </row>
    <row r="3" spans="1:3" x14ac:dyDescent="0.35">
      <c r="A3" s="3" t="s">
        <v>434</v>
      </c>
      <c r="B3" s="3" t="s">
        <v>435</v>
      </c>
      <c r="C3" s="3" t="s">
        <v>436</v>
      </c>
    </row>
    <row r="4" spans="1:3" ht="28" x14ac:dyDescent="0.35">
      <c r="A4" s="2" t="s">
        <v>437</v>
      </c>
      <c r="B4" s="2" t="s">
        <v>438</v>
      </c>
      <c r="C4" s="2" t="s">
        <v>439</v>
      </c>
    </row>
    <row r="5" spans="1:3" x14ac:dyDescent="0.35">
      <c r="A5" s="3" t="s">
        <v>440</v>
      </c>
      <c r="B5" s="3" t="s">
        <v>441</v>
      </c>
      <c r="C5" s="3" t="s">
        <v>442</v>
      </c>
    </row>
    <row r="6" spans="1:3" x14ac:dyDescent="0.35">
      <c r="A6" s="2" t="s">
        <v>443</v>
      </c>
      <c r="B6" s="2" t="s">
        <v>444</v>
      </c>
      <c r="C6" s="2" t="s">
        <v>445</v>
      </c>
    </row>
    <row r="7" spans="1:3" x14ac:dyDescent="0.35">
      <c r="A7" s="3" t="s">
        <v>446</v>
      </c>
      <c r="B7" s="3" t="s">
        <v>447</v>
      </c>
      <c r="C7" s="3" t="s">
        <v>445</v>
      </c>
    </row>
    <row r="8" spans="1:3" x14ac:dyDescent="0.35">
      <c r="A8" s="2" t="s">
        <v>448</v>
      </c>
      <c r="B8" s="2" t="s">
        <v>449</v>
      </c>
      <c r="C8" s="2" t="s">
        <v>445</v>
      </c>
    </row>
    <row r="9" spans="1:3" ht="28" x14ac:dyDescent="0.35">
      <c r="A9" s="3" t="s">
        <v>450</v>
      </c>
      <c r="B9" s="3" t="s">
        <v>451</v>
      </c>
      <c r="C9" s="3" t="s">
        <v>452</v>
      </c>
    </row>
    <row r="10" spans="1:3" ht="28" x14ac:dyDescent="0.35">
      <c r="A10" s="2" t="s">
        <v>453</v>
      </c>
      <c r="B10" s="2" t="s">
        <v>454</v>
      </c>
      <c r="C10" s="2" t="s">
        <v>455</v>
      </c>
    </row>
    <row r="11" spans="1:3" x14ac:dyDescent="0.35">
      <c r="A11" s="3" t="s">
        <v>456</v>
      </c>
      <c r="B11" s="3" t="s">
        <v>457</v>
      </c>
      <c r="C11" s="3" t="s">
        <v>458</v>
      </c>
    </row>
    <row r="12" spans="1:3" ht="28" x14ac:dyDescent="0.35">
      <c r="A12" s="2" t="s">
        <v>459</v>
      </c>
      <c r="B12" s="2" t="s">
        <v>460</v>
      </c>
      <c r="C12" s="2" t="s">
        <v>461</v>
      </c>
    </row>
    <row r="13" spans="1:3" x14ac:dyDescent="0.35">
      <c r="A13" s="3" t="s">
        <v>462</v>
      </c>
      <c r="B13" s="3" t="s">
        <v>463</v>
      </c>
      <c r="C13" s="3" t="s">
        <v>461</v>
      </c>
    </row>
    <row r="14" spans="1:3" x14ac:dyDescent="0.35">
      <c r="A14" s="2" t="s">
        <v>464</v>
      </c>
      <c r="B14" s="2" t="s">
        <v>465</v>
      </c>
      <c r="C14" s="2" t="s">
        <v>466</v>
      </c>
    </row>
    <row r="15" spans="1:3" ht="28" x14ac:dyDescent="0.35">
      <c r="A15" s="3" t="s">
        <v>467</v>
      </c>
      <c r="B15" s="3" t="s">
        <v>468</v>
      </c>
      <c r="C15" s="3" t="s">
        <v>445</v>
      </c>
    </row>
    <row r="16" spans="1:3" ht="28" x14ac:dyDescent="0.35">
      <c r="A16" s="2" t="s">
        <v>469</v>
      </c>
      <c r="B16" s="2" t="s">
        <v>470</v>
      </c>
      <c r="C16" s="2" t="s">
        <v>471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6" customWidth="1"/>
    <col min="2" max="2" width="90" customWidth="1"/>
  </cols>
  <sheetData>
    <row r="1" spans="1:2" x14ac:dyDescent="0.35">
      <c r="A1" s="1" t="s">
        <v>472</v>
      </c>
      <c r="B1" s="1" t="s">
        <v>473</v>
      </c>
    </row>
    <row r="2" spans="1:2" ht="28" x14ac:dyDescent="0.35">
      <c r="A2" s="2" t="s">
        <v>474</v>
      </c>
      <c r="B2" s="2" t="s">
        <v>475</v>
      </c>
    </row>
    <row r="3" spans="1:2" x14ac:dyDescent="0.35">
      <c r="A3" s="3" t="s">
        <v>476</v>
      </c>
      <c r="B3" s="3" t="s">
        <v>477</v>
      </c>
    </row>
    <row r="4" spans="1:2" ht="28" x14ac:dyDescent="0.35">
      <c r="A4" s="2" t="s">
        <v>478</v>
      </c>
      <c r="B4" s="2" t="s">
        <v>479</v>
      </c>
    </row>
    <row r="5" spans="1:2" x14ac:dyDescent="0.35">
      <c r="A5" s="3" t="s">
        <v>480</v>
      </c>
      <c r="B5" s="3" t="s">
        <v>481</v>
      </c>
    </row>
    <row r="6" spans="1:2" x14ac:dyDescent="0.35">
      <c r="A6" s="2" t="s">
        <v>482</v>
      </c>
      <c r="B6" s="2" t="s">
        <v>483</v>
      </c>
    </row>
    <row r="7" spans="1:2" x14ac:dyDescent="0.35">
      <c r="A7" s="3" t="s">
        <v>484</v>
      </c>
      <c r="B7" s="3" t="s">
        <v>485</v>
      </c>
    </row>
    <row r="8" spans="1:2" ht="28" x14ac:dyDescent="0.35">
      <c r="A8" s="2" t="s">
        <v>486</v>
      </c>
      <c r="B8" s="2" t="s">
        <v>487</v>
      </c>
    </row>
    <row r="9" spans="1:2" ht="28" x14ac:dyDescent="0.35">
      <c r="A9" s="3" t="s">
        <v>102</v>
      </c>
      <c r="B9" s="3" t="s">
        <v>488</v>
      </c>
    </row>
    <row r="10" spans="1:2" ht="28" x14ac:dyDescent="0.35">
      <c r="A10" s="2" t="s">
        <v>440</v>
      </c>
      <c r="B10" s="2" t="s">
        <v>489</v>
      </c>
    </row>
    <row r="11" spans="1:2" ht="28" x14ac:dyDescent="0.35">
      <c r="A11" s="3" t="s">
        <v>490</v>
      </c>
      <c r="B11" s="3" t="s">
        <v>491</v>
      </c>
    </row>
    <row r="12" spans="1:2" x14ac:dyDescent="0.35">
      <c r="A12" s="2" t="s">
        <v>492</v>
      </c>
      <c r="B12" s="2" t="s">
        <v>493</v>
      </c>
    </row>
    <row r="13" spans="1:2" x14ac:dyDescent="0.35">
      <c r="A13" s="3" t="s">
        <v>494</v>
      </c>
      <c r="B13" s="3" t="s">
        <v>495</v>
      </c>
    </row>
    <row r="14" spans="1:2" x14ac:dyDescent="0.35">
      <c r="A14" s="2" t="s">
        <v>496</v>
      </c>
      <c r="B14" s="2" t="s">
        <v>497</v>
      </c>
    </row>
    <row r="15" spans="1:2" x14ac:dyDescent="0.35">
      <c r="A15" s="3" t="s">
        <v>498</v>
      </c>
      <c r="B15" s="3" t="s">
        <v>499</v>
      </c>
    </row>
    <row r="16" spans="1:2" x14ac:dyDescent="0.35">
      <c r="A16" s="2" t="s">
        <v>500</v>
      </c>
      <c r="B16" s="2" t="s">
        <v>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0" customWidth="1"/>
    <col min="2" max="2" width="42" customWidth="1"/>
    <col min="3" max="3" width="70" customWidth="1"/>
    <col min="4" max="4" width="12" customWidth="1"/>
  </cols>
  <sheetData>
    <row r="1" spans="1:4" ht="28" x14ac:dyDescent="0.35">
      <c r="A1" s="1" t="s">
        <v>502</v>
      </c>
      <c r="B1" s="1" t="s">
        <v>503</v>
      </c>
      <c r="C1" s="1" t="s">
        <v>504</v>
      </c>
      <c r="D1" s="1" t="s">
        <v>505</v>
      </c>
    </row>
    <row r="2" spans="1:4" ht="28" x14ac:dyDescent="0.35">
      <c r="A2" s="2" t="s">
        <v>506</v>
      </c>
      <c r="B2" s="2" t="s">
        <v>507</v>
      </c>
      <c r="C2" s="2" t="s">
        <v>508</v>
      </c>
      <c r="D2" s="2" t="s">
        <v>509</v>
      </c>
    </row>
    <row r="3" spans="1:4" x14ac:dyDescent="0.35">
      <c r="A3" s="3" t="s">
        <v>510</v>
      </c>
      <c r="B3" s="3" t="s">
        <v>511</v>
      </c>
      <c r="C3" s="3" t="s">
        <v>512</v>
      </c>
      <c r="D3" s="3" t="s">
        <v>513</v>
      </c>
    </row>
    <row r="4" spans="1:4" x14ac:dyDescent="0.35">
      <c r="A4" s="2" t="s">
        <v>514</v>
      </c>
      <c r="B4" s="2" t="s">
        <v>515</v>
      </c>
      <c r="C4" s="2" t="s">
        <v>516</v>
      </c>
      <c r="D4" s="2" t="s">
        <v>517</v>
      </c>
    </row>
    <row r="5" spans="1:4" ht="28" x14ac:dyDescent="0.35">
      <c r="A5" s="3" t="s">
        <v>518</v>
      </c>
      <c r="B5" s="3" t="s">
        <v>519</v>
      </c>
      <c r="C5" s="3" t="s">
        <v>520</v>
      </c>
      <c r="D5" s="3" t="s">
        <v>521</v>
      </c>
    </row>
    <row r="6" spans="1:4" x14ac:dyDescent="0.35">
      <c r="A6" s="2" t="s">
        <v>522</v>
      </c>
      <c r="B6" s="2" t="s">
        <v>523</v>
      </c>
      <c r="C6" s="2" t="s">
        <v>524</v>
      </c>
      <c r="D6" s="2" t="s">
        <v>525</v>
      </c>
    </row>
    <row r="7" spans="1:4" x14ac:dyDescent="0.35">
      <c r="A7" s="3" t="s">
        <v>526</v>
      </c>
      <c r="B7" s="3" t="s">
        <v>527</v>
      </c>
      <c r="C7" s="3" t="s">
        <v>528</v>
      </c>
      <c r="D7" s="3" t="s">
        <v>529</v>
      </c>
    </row>
    <row r="8" spans="1:4" x14ac:dyDescent="0.35">
      <c r="A8" s="2" t="s">
        <v>530</v>
      </c>
      <c r="B8" s="2" t="s">
        <v>531</v>
      </c>
      <c r="C8" s="2" t="s">
        <v>532</v>
      </c>
      <c r="D8" s="2" t="s">
        <v>517</v>
      </c>
    </row>
    <row r="9" spans="1:4" ht="28" x14ac:dyDescent="0.35">
      <c r="A9" s="3" t="s">
        <v>533</v>
      </c>
      <c r="B9" s="3" t="s">
        <v>534</v>
      </c>
      <c r="C9" s="3" t="s">
        <v>535</v>
      </c>
      <c r="D9" s="3" t="s">
        <v>536</v>
      </c>
    </row>
    <row r="10" spans="1:4" x14ac:dyDescent="0.35">
      <c r="A10" s="2" t="s">
        <v>537</v>
      </c>
      <c r="B10" s="2" t="s">
        <v>538</v>
      </c>
      <c r="C10" s="2" t="s">
        <v>539</v>
      </c>
      <c r="D10" s="2" t="s">
        <v>540</v>
      </c>
    </row>
    <row r="11" spans="1:4" ht="28" x14ac:dyDescent="0.35">
      <c r="A11" s="3" t="s">
        <v>541</v>
      </c>
      <c r="B11" s="3" t="s">
        <v>542</v>
      </c>
      <c r="C11" s="3" t="s">
        <v>543</v>
      </c>
      <c r="D11" s="3" t="s">
        <v>540</v>
      </c>
    </row>
    <row r="12" spans="1:4" ht="28" x14ac:dyDescent="0.35">
      <c r="A12" s="2" t="s">
        <v>544</v>
      </c>
      <c r="B12" s="2" t="s">
        <v>545</v>
      </c>
      <c r="C12" s="2" t="s">
        <v>546</v>
      </c>
      <c r="D12" s="2" t="s">
        <v>547</v>
      </c>
    </row>
    <row r="13" spans="1:4" ht="28" x14ac:dyDescent="0.35">
      <c r="A13" s="3" t="s">
        <v>548</v>
      </c>
      <c r="B13" s="3" t="s">
        <v>549</v>
      </c>
      <c r="C13" s="3" t="s">
        <v>550</v>
      </c>
      <c r="D13" s="3" t="s">
        <v>551</v>
      </c>
    </row>
    <row r="14" spans="1:4" x14ac:dyDescent="0.35">
      <c r="A14" s="2" t="s">
        <v>552</v>
      </c>
      <c r="B14" s="2" t="s">
        <v>553</v>
      </c>
      <c r="C14" s="2" t="s">
        <v>554</v>
      </c>
      <c r="D14" s="2" t="s">
        <v>555</v>
      </c>
    </row>
    <row r="15" spans="1:4" ht="28" x14ac:dyDescent="0.35">
      <c r="A15" s="3" t="s">
        <v>556</v>
      </c>
      <c r="B15" s="3" t="s">
        <v>557</v>
      </c>
      <c r="C15" s="3" t="s">
        <v>558</v>
      </c>
      <c r="D15" s="3" t="s">
        <v>555</v>
      </c>
    </row>
    <row r="16" spans="1:4" ht="28" x14ac:dyDescent="0.35">
      <c r="A16" s="2" t="s">
        <v>559</v>
      </c>
      <c r="B16" s="2" t="s">
        <v>560</v>
      </c>
      <c r="C16" s="2" t="s">
        <v>561</v>
      </c>
      <c r="D16" s="2" t="s">
        <v>555</v>
      </c>
    </row>
    <row r="17" spans="1:4" ht="28" x14ac:dyDescent="0.35">
      <c r="A17" s="3" t="s">
        <v>562</v>
      </c>
      <c r="B17" s="3" t="s">
        <v>563</v>
      </c>
      <c r="C17" s="3" t="s">
        <v>564</v>
      </c>
      <c r="D17" s="3" t="s">
        <v>565</v>
      </c>
    </row>
    <row r="18" spans="1:4" ht="28" x14ac:dyDescent="0.35">
      <c r="A18" s="2" t="s">
        <v>566</v>
      </c>
      <c r="B18" s="2" t="s">
        <v>567</v>
      </c>
      <c r="C18" s="2" t="s">
        <v>568</v>
      </c>
      <c r="D18" s="2" t="s">
        <v>569</v>
      </c>
    </row>
    <row r="19" spans="1:4" x14ac:dyDescent="0.35">
      <c r="A19" s="3" t="s">
        <v>570</v>
      </c>
      <c r="B19" s="3" t="s">
        <v>571</v>
      </c>
      <c r="C19" s="3" t="s">
        <v>572</v>
      </c>
      <c r="D19" s="3" t="s">
        <v>573</v>
      </c>
    </row>
    <row r="20" spans="1:4" ht="28" x14ac:dyDescent="0.35">
      <c r="A20" s="2" t="s">
        <v>574</v>
      </c>
      <c r="B20" s="2" t="s">
        <v>575</v>
      </c>
      <c r="C20" s="2" t="s">
        <v>576</v>
      </c>
      <c r="D20" s="2" t="s">
        <v>577</v>
      </c>
    </row>
    <row r="21" spans="1:4" ht="28" x14ac:dyDescent="0.35">
      <c r="A21" s="3" t="s">
        <v>578</v>
      </c>
      <c r="B21" s="3" t="s">
        <v>579</v>
      </c>
      <c r="C21" s="3" t="s">
        <v>580</v>
      </c>
      <c r="D21" s="3" t="s">
        <v>581</v>
      </c>
    </row>
    <row r="22" spans="1:4" ht="28" x14ac:dyDescent="0.35">
      <c r="A22" s="2" t="s">
        <v>582</v>
      </c>
      <c r="B22" s="2" t="s">
        <v>583</v>
      </c>
      <c r="C22" s="2" t="s">
        <v>584</v>
      </c>
      <c r="D22" s="2" t="s">
        <v>585</v>
      </c>
    </row>
    <row r="23" spans="1:4" ht="28" x14ac:dyDescent="0.35">
      <c r="A23" s="3" t="s">
        <v>586</v>
      </c>
      <c r="B23" s="3" t="s">
        <v>587</v>
      </c>
      <c r="C23" s="3" t="s">
        <v>588</v>
      </c>
      <c r="D23" s="3" t="s">
        <v>589</v>
      </c>
    </row>
    <row r="24" spans="1:4" ht="28" x14ac:dyDescent="0.35">
      <c r="A24" s="2" t="s">
        <v>590</v>
      </c>
      <c r="B24" s="2" t="s">
        <v>591</v>
      </c>
      <c r="C24" s="2" t="s">
        <v>592</v>
      </c>
      <c r="D24" s="2" t="s">
        <v>593</v>
      </c>
    </row>
    <row r="25" spans="1:4" ht="28" x14ac:dyDescent="0.35">
      <c r="A25" s="3" t="s">
        <v>594</v>
      </c>
      <c r="B25" s="3" t="s">
        <v>595</v>
      </c>
      <c r="C25" s="3" t="s">
        <v>596</v>
      </c>
      <c r="D25" s="3" t="s">
        <v>597</v>
      </c>
    </row>
    <row r="26" spans="1:4" ht="28" x14ac:dyDescent="0.35">
      <c r="A26" s="2" t="s">
        <v>598</v>
      </c>
      <c r="B26" s="2" t="s">
        <v>599</v>
      </c>
      <c r="C26" s="2" t="s">
        <v>600</v>
      </c>
      <c r="D26" s="2" t="s">
        <v>601</v>
      </c>
    </row>
    <row r="27" spans="1:4" x14ac:dyDescent="0.35">
      <c r="A27" s="3" t="s">
        <v>602</v>
      </c>
      <c r="B27" s="3" t="s">
        <v>603</v>
      </c>
      <c r="C27" s="3" t="s">
        <v>604</v>
      </c>
      <c r="D27" s="3" t="s">
        <v>601</v>
      </c>
    </row>
    <row r="28" spans="1:4" ht="28" x14ac:dyDescent="0.35">
      <c r="A28" s="2" t="s">
        <v>605</v>
      </c>
      <c r="B28" s="2" t="s">
        <v>606</v>
      </c>
      <c r="C28" s="2" t="s">
        <v>607</v>
      </c>
      <c r="D28" s="2" t="s">
        <v>608</v>
      </c>
    </row>
    <row r="29" spans="1:4" ht="28" x14ac:dyDescent="0.35">
      <c r="A29" s="3" t="s">
        <v>609</v>
      </c>
      <c r="B29" s="3" t="s">
        <v>610</v>
      </c>
      <c r="C29" s="3" t="s">
        <v>611</v>
      </c>
      <c r="D29" s="3" t="s">
        <v>612</v>
      </c>
    </row>
    <row r="30" spans="1:4" ht="28" x14ac:dyDescent="0.35">
      <c r="A30" s="2" t="s">
        <v>613</v>
      </c>
      <c r="B30" s="2" t="s">
        <v>614</v>
      </c>
      <c r="C30" s="2" t="s">
        <v>615</v>
      </c>
      <c r="D30" s="2" t="s">
        <v>616</v>
      </c>
    </row>
    <row r="31" spans="1:4" x14ac:dyDescent="0.35">
      <c r="A31" s="3" t="s">
        <v>617</v>
      </c>
      <c r="B31" s="3" t="s">
        <v>618</v>
      </c>
      <c r="C31" s="3" t="s">
        <v>619</v>
      </c>
      <c r="D31" s="3" t="s">
        <v>620</v>
      </c>
    </row>
    <row r="32" spans="1:4" ht="28" x14ac:dyDescent="0.35">
      <c r="A32" s="2" t="s">
        <v>621</v>
      </c>
      <c r="B32" s="2" t="s">
        <v>622</v>
      </c>
      <c r="C32" s="2" t="s">
        <v>623</v>
      </c>
      <c r="D32" s="2" t="s">
        <v>624</v>
      </c>
    </row>
    <row r="33" spans="1:4" ht="28" x14ac:dyDescent="0.35">
      <c r="A33" s="3" t="s">
        <v>625</v>
      </c>
      <c r="B33" s="3" t="s">
        <v>626</v>
      </c>
      <c r="C33" s="3" t="s">
        <v>627</v>
      </c>
      <c r="D33" s="3" t="s">
        <v>624</v>
      </c>
    </row>
    <row r="34" spans="1:4" ht="28" x14ac:dyDescent="0.35">
      <c r="A34" s="2" t="s">
        <v>628</v>
      </c>
      <c r="B34" s="2" t="s">
        <v>629</v>
      </c>
      <c r="C34" s="2" t="s">
        <v>630</v>
      </c>
      <c r="D34" s="2" t="s">
        <v>631</v>
      </c>
    </row>
    <row r="35" spans="1:4" ht="28" x14ac:dyDescent="0.35">
      <c r="A35" s="3" t="s">
        <v>632</v>
      </c>
      <c r="B35" s="3" t="s">
        <v>633</v>
      </c>
      <c r="C35" s="3" t="s">
        <v>634</v>
      </c>
      <c r="D35" s="3" t="s">
        <v>635</v>
      </c>
    </row>
    <row r="36" spans="1:4" ht="28" x14ac:dyDescent="0.35">
      <c r="A36" s="2" t="s">
        <v>636</v>
      </c>
      <c r="B36" s="2" t="s">
        <v>637</v>
      </c>
      <c r="C36" s="2" t="s">
        <v>638</v>
      </c>
      <c r="D36" s="2" t="s">
        <v>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Databricks Master Syllabus</vt:lpstr>
      <vt:lpstr>Journey Progress Tracker</vt:lpstr>
      <vt:lpstr>Databricks Command Reference</vt:lpstr>
      <vt:lpstr>Mental Model</vt:lpstr>
      <vt:lpstr>Error Catalogue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Chouhan</cp:lastModifiedBy>
  <dcterms:created xsi:type="dcterms:W3CDTF">2026-10-29T16:46:48Z</dcterms:created>
  <dcterms:modified xsi:type="dcterms:W3CDTF">2026-10-29T16:46:54Z</dcterms:modified>
</cp:coreProperties>
</file>