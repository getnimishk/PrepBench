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af5bf8ca3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F Master Roadmap" sheetId="1" r:id="Rbbde2054e4854d84"/>
    <x:sheet xmlns:r="http://schemas.openxmlformats.org/officeDocument/2006/relationships" name="Journey Progress Tracker" sheetId="2" r:id="R6430fdbcd6b54058"/>
    <x:sheet xmlns:r="http://schemas.openxmlformats.org/officeDocument/2006/relationships" name="Architecture &amp; Decision Model" sheetId="3" r:id="R5dde41ba7f7a425a"/>
    <x:sheet xmlns:r="http://schemas.openxmlformats.org/officeDocument/2006/relationships" name="Portfolio &amp; Scenarios" sheetId="4" r:id="R57e10a0364414a05"/>
    <x:sheet xmlns:r="http://schemas.openxmlformats.org/officeDocument/2006/relationships" name="Suggested Resources" sheetId="5" r:id="R94fcbd1953514090"/>
    <x:sheet xmlns:r="http://schemas.openxmlformats.org/officeDocument/2006/relationships" name="Mental Model" sheetId="6" r:id="R6810b6dd357f4d03"/>
    <x:sheet xmlns:r="http://schemas.openxmlformats.org/officeDocument/2006/relationships" name="Study Guide Crosswalk" sheetId="7" r:id="Ra0df7d055a64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B"/>
      </x:patternFill>
    </x:fill>
    <x:fill>
      <x:patternFill patternType="solid">
        <x:fgColor rgb="FFFCE4D6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C55A11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201" fontId="5" fillId="3" borderId="0" xfId="0" applyNumberFormat="1" applyFont="1" applyFill="1" applyBorder="1" applyAlignment="1">
      <x:alignment horizontal="center" wrapText="1"/>
    </x:xf>
    <x:xf numFmtId="201" fontId="5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color rgb="FF2F5D2F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da72ed3c34f8a" /><Relationship Type="http://schemas.openxmlformats.org/officeDocument/2006/relationships/theme" Target="/xl/theme/theme1.xml" Id="R60312165e1d845a9" /><Relationship Type="http://schemas.openxmlformats.org/officeDocument/2006/relationships/sharedStrings" Target="/xl/sharedStrings.xml" Id="R71561620965948cb" /><Relationship Type="http://schemas.openxmlformats.org/officeDocument/2006/relationships/worksheet" Target="/xl/worksheets/sheet1.xml" Id="Rbbde2054e4854d84" /><Relationship Type="http://schemas.openxmlformats.org/officeDocument/2006/relationships/worksheet" Target="/xl/worksheets/sheet2.xml" Id="R6430fdbcd6b54058" /><Relationship Type="http://schemas.openxmlformats.org/officeDocument/2006/relationships/worksheet" Target="/xl/worksheets/sheet3.xml" Id="R5dde41ba7f7a425a" /><Relationship Type="http://schemas.openxmlformats.org/officeDocument/2006/relationships/worksheet" Target="/xl/worksheets/sheet4.xml" Id="R57e10a0364414a05" /><Relationship Type="http://schemas.openxmlformats.org/officeDocument/2006/relationships/worksheet" Target="/xl/worksheets/sheet5.xml" Id="R94fcbd1953514090" /><Relationship Type="http://schemas.openxmlformats.org/officeDocument/2006/relationships/worksheet" Target="/xl/worksheets/sheet6.xml" Id="R6810b6dd357f4d03" /><Relationship Type="http://schemas.openxmlformats.org/officeDocument/2006/relationships/worksheet" Target="/xl/worksheets/sheet7.xml" Id="Ra0df7d055a644c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4830f458284f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Progress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Topics</c:v>
          </c:tx>
          <c:cat>
            <c:strRef>
              <c:f>'Journey Progress Tracker'!$J$3:$J$14</c:f>
              <c:strCache>
                <c:ptCount val="0"/>
              </c:strCache>
            </c:strRef>
          </c:cat>
          <c:val>
            <c:numRef>
              <c:f>'Journey Progress Tracker'!$K$3:$K$14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'Journey Progress Tracker'!$J$3:$J$14</c:f>
              <c:strCache>
                <c:ptCount val="0"/>
              </c:strCache>
            </c:strRef>
          </c:cat>
          <c:val>
            <c:numRef>
              <c:f>'Journey Progress Tracker'!$L$3:$L$14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In Progress</c:v>
          </c:tx>
          <c:cat>
            <c:strRef>
              <c:f>'Journey Progress Tracker'!$J$3:$J$14</c:f>
              <c:strCache>
                <c:ptCount val="0"/>
              </c:strCache>
            </c:strRef>
          </c:cat>
          <c:val>
            <c:numRef>
              <c:f>'Journey Progress Tracker'!$M$3:$M$14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Avg Progress</c:v>
          </c:tx>
          <c:cat>
            <c:strRef>
              <c:f>'Journey Progress Tracker'!$J$3:$J$14</c:f>
              <c:strCache>
                <c:ptCount val="0"/>
              </c:strCache>
            </c:strRef>
          </c:cat>
          <c:val>
            <c:numRef>
              <c:f>'Journey Progress Tracker'!$N$3:$N$14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4830f458284f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FRoadmapTable" displayName="ADFRoadmapTable" ref="A5:J65" headerRowCount="1" totalsRowCount="0" totalsRowShown="0">
  <x:tableColumns count="10">
    <x:tableColumn id="1" name="Phase"/>
    <x:tableColumn id="2" name="Topic #"/>
    <x:tableColumn id="3" name="Topic"/>
    <x:tableColumn id="4" name="Learning Objective"/>
    <x:tableColumn id="5" name="Success Criteria"/>
    <x:tableColumn id="6" name="Est. Hours"/>
    <x:tableColumn id="7" name="Evidence / Lab"/>
    <x:tableColumn id="8" name="Course Area"/>
    <x:tableColumn id="9" name="Primary Source"/>
    <x:tableColumn id="10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FProgressTable" displayName="ADFProgressTable" ref="A5:H65" headerRowCount="1" totalsRowCount="0" totalsRowShown="0">
  <x:tableColumns count="8">
    <x:tableColumn id="1" name="#"/>
    <x:tableColumn id="2" name="Topic"/>
    <x:tableColumn id="3" name="Phase"/>
    <x:tableColumn id="4" name="Status"/>
    <x:tableColumn id="5" name="Progress %"/>
    <x:tableColumn id="6" name="Est. Hours"/>
    <x:tableColumn id="7" name="Start Date"/>
    <x:tableColumn id="8" name="Completion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FDecisionTable" displayName="ADFDecisionTable" ref="A3:E16" headerRowCount="1" totalsRowCount="0" totalsRowShown="0">
  <x:tableColumns count="5">
    <x:tableColumn id="1" name="Decision Area"/>
    <x:tableColumn id="2" name="Use ADF When..."/>
    <x:tableColumn id="3" name="Consider Instead / Alongside"/>
    <x:tableColumn id="4" name="Key Trade-off"/>
    <x:tableColumn id="5" name="Interview Fram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FPortfolioTable" displayName="ADFPortfolioTable" ref="A3:F13" headerRowCount="1" totalsRowCount="0" totalsRowShown="0">
  <x:tableColumns count="6">
    <x:tableColumn id="1" name="Artifact / Scenario"/>
    <x:tableColumn id="2" name="What It Demonstrates"/>
    <x:tableColumn id="3" name="Target Role Fit"/>
    <x:tableColumn id="4" name="Est. Hours"/>
    <x:tableColumn id="5" name="Output"/>
    <x:tableColumn id="6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FResourcesTable" displayName="ADFResourcesTable" ref="A4:E24" headerRowCount="1" totalsRowCount="0" totalsRowShown="0">
  <x:tableColumns count="5">
    <x:tableColumn id="1" name="Resource"/>
    <x:tableColumn id="2" name="Where It Helps"/>
    <x:tableColumn id="3" name="How to Use"/>
    <x:tableColumn id="4" name="Freshness Risk"/>
    <x:tableColumn id="5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FMentalModelTable" displayName="ADFMentalModelTable" ref="A3:C26" headerRowCount="1" totalsRowCount="0" totalsRowShown="0">
  <x:tableColumns count="3">
    <x:tableColumn id="1" name="Concept"/>
    <x:tableColumn id="2" name="Mental Model"/>
    <x:tableColumn id="3" name="Interview Question to Ask Yoursel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776a30c0984f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5f5b3fd8e1f45f2" /><Relationship Type="http://schemas.openxmlformats.org/officeDocument/2006/relationships/table" Target="/xl/tables/table2.xml" Id="Ra625ad88465a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e6658b799f47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860c26446541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275edfeadf43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6a82c7a47ed45c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34" hidden="0" customWidth="1"/>
    <x:col min="4" max="4" width="48" hidden="0" customWidth="1"/>
    <x:col min="5" max="5" width="52" hidden="0" customWidth="1"/>
    <x:col min="6" max="6" width="11" hidden="0" customWidth="1"/>
    <x:col min="7" max="7" width="40" hidden="0" customWidth="1"/>
    <x:col min="8" max="8" width="22" hidden="0" customWidth="1"/>
    <x:col min="9" max="9" width="52" hidden="0" customWidth="1"/>
    <x:col min="10" max="10" width="11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5" t="str">
        <x:v>Azure Data Factory — Master Roadmap</x:v>
      </x:c>
      <x:c r="B1" s="5"/>
      <x:c r="C1" s="5"/>
      <x:c r="D1" s="5"/>
      <x:c r="E1" s="5"/>
      <x:c r="F1" s="5"/>
      <x:c r="G1" s="5"/>
      <x:c r="H1" s="5"/>
      <x:c r="I1" s="5"/>
      <x:c r="J1" s="5"/>
      <x:c r="L1" s="48" t="str">
        <x:v>Roadmap Summary</x:v>
      </x:c>
      <x:c r="M1" s="48"/>
      <x:c r="N1" s="48"/>
      <x:c r="O1" s="48"/>
    </x:row>
    <x:row r="2" ht="28" customHeight="1">
      <x:c r="A2" s="13" t="str">
        <x:v>Target: Product Owner / Program-Delivery Manager / Cloud-Engineering Manager. Focus: architecture, orchestration, data movement, networking, security, operations, cost, Databricks integration and interview readiness.</x:v>
      </x:c>
      <x:c r="B2" s="13"/>
      <x:c r="C2" s="13"/>
      <x:c r="D2" s="13"/>
      <x:c r="E2" s="13"/>
      <x:c r="F2" s="13"/>
      <x:c r="G2" s="13"/>
      <x:c r="H2" s="13"/>
      <x:c r="I2" s="13"/>
      <x:c r="J2" s="13"/>
      <x:c r="L2" s="29" t="str">
        <x:v>Topics</x:v>
      </x:c>
      <x:c r="M2" s="58" t="n">
        <x:f>COUNTA(B6:B65)</x:f>
        <x:v>60</x:v>
      </x:c>
      <x:c r="N2" s="59"/>
      <x:c r="O2" s="59"/>
    </x:row>
    <x:row r="3" ht="28" customHeight="1">
      <x:c r="A3" s="21" t="str">
        <x:v>Roadmap basis: current PrepBench ADF course + the 2026-10-04 accuracy audit; volatile Microsoft limits/connector behavior should be re-checked periodically.</x:v>
      </x:c>
      <x:c r="B3" s="21"/>
      <x:c r="C3" s="21"/>
      <x:c r="D3" s="21"/>
      <x:c r="E3" s="21"/>
      <x:c r="F3" s="21"/>
      <x:c r="G3" s="21"/>
      <x:c r="H3" s="21"/>
      <x:c r="I3" s="21"/>
      <x:c r="J3" s="21"/>
      <x:c r="L3" s="29" t="str">
        <x:v>Estimated Hours</x:v>
      </x:c>
      <x:c r="M3" s="58" t="n">
        <x:f>SUM(F6:F65)</x:f>
        <x:v>176</x:v>
      </x:c>
      <x:c r="N3" s="59"/>
      <x:c r="O3" s="59"/>
    </x:row>
    <x:row r="4" ht="22" customHeight="1">
      <x:c r="L4" s="29" t="str">
        <x:v>Core Topics</x:v>
      </x:c>
      <x:c r="M4" s="58" t="n">
        <x:f>COUNTIF(J6:J65,"Core")</x:f>
        <x:v>60</x:v>
      </x:c>
      <x:c r="N4" s="59"/>
      <x:c r="O4" s="59"/>
    </x:row>
    <x:row r="5" ht="28" customHeight="1">
      <x:c r="A5" s="29" t="str">
        <x:v>Phase</x:v>
      </x:c>
      <x:c r="B5" s="29" t="str">
        <x:v>Topic #</x:v>
      </x:c>
      <x:c r="C5" s="29" t="str">
        <x:v>Topic</x:v>
      </x:c>
      <x:c r="D5" s="29" t="str">
        <x:v>Learning Objective</x:v>
      </x:c>
      <x:c r="E5" s="29" t="str">
        <x:v>Success Criteria</x:v>
      </x:c>
      <x:c r="F5" s="29" t="str">
        <x:v>Est. Hours</x:v>
      </x:c>
      <x:c r="G5" s="29" t="str">
        <x:v>Evidence / Lab</x:v>
      </x:c>
      <x:c r="H5" s="29" t="str">
        <x:v>Course Area</x:v>
      </x:c>
      <x:c r="I5" s="29" t="str">
        <x:v>Primary Source</x:v>
      </x:c>
      <x:c r="J5" s="29" t="str">
        <x:v>Priority</x:v>
      </x:c>
      <x:c r="L5" s="29" t="str">
        <x:v>Phases</x:v>
      </x:c>
      <x:c r="M5" s="58" t="n">
        <x:f>COUNTA('Journey Progress Tracker'!J3:J14)</x:f>
        <x:v>12</x:v>
      </x:c>
      <x:c r="N5" s="59"/>
      <x:c r="O5" s="59"/>
    </x:row>
    <x:row r="6" ht="54" customHeight="1">
      <x:c r="A6" s="38" t="str">
        <x:v>1. ADF Foundations</x:v>
      </x:c>
      <x:c r="B6" s="38" t="n">
        <x:v>1</x:v>
      </x:c>
      <x:c r="C6" s="38" t="str">
        <x:v>What Azure Data Factory Is</x:v>
      </x:c>
      <x:c r="D6" s="38" t="str">
        <x:v>Understand ADF as a managed cloud data-integration and orchestration service; distinguish orchestration, movement and transformation.</x:v>
      </x:c>
      <x:c r="E6" s="38" t="str">
        <x:v>Explain what ADF does, where it fits in an Azure data platform, and why it is not the primary compute engine for heavy transformation.</x:v>
      </x:c>
      <x:c r="F6" s="40" t="n">
        <x:v>2</x:v>
      </x:c>
      <x:c r="G6" s="38" t="str">
        <x:v>Write a one-minute ADF explanation for a Product/Program interview.</x:v>
      </x:c>
      <x:c r="H6" s="38" t="str">
        <x:v>Overview</x:v>
      </x:c>
      <x:c r="I6" s="38" t="str">
        <x:v>https://learn.microsoft.com/en-us/azure/data-factory/introduction</x:v>
      </x:c>
      <x:c r="J6" s="38" t="str">
        <x:v>Core</x:v>
      </x:c>
      <x:c r="L6" s="59"/>
      <x:c r="M6" s="59"/>
      <x:c r="N6" s="59"/>
      <x:c r="O6" s="59"/>
    </x:row>
    <x:row r="7" ht="54" customHeight="1">
      <x:c r="A7" s="36" t="str">
        <x:v>1. ADF Foundations</x:v>
      </x:c>
      <x:c r="B7" s="36" t="n">
        <x:v>2</x:v>
      </x:c>
      <x:c r="C7" s="36" t="str">
        <x:v>ADF vs Databricks vs Synapse vs Fabric Data Factory</x:v>
      </x:c>
      <x:c r="D7" s="36" t="str">
        <x:v>Understand where ADF, Databricks, Synapse and Fabric Data Factory overlap and where they serve different architectural roles.</x:v>
      </x:c>
      <x:c r="E7" s="36" t="str">
        <x:v>Choose the right service for orchestration, transformation, lakehouse processing and integrated analytics, with explicit trade-offs.</x:v>
      </x:c>
      <x:c r="F7" s="41" t="n">
        <x:v>2</x:v>
      </x:c>
      <x:c r="G7" s="36" t="str">
        <x:v>Create a service-selection matrix for 4 common enterprise scenarios.</x:v>
      </x:c>
      <x:c r="H7" s="36" t="str">
        <x:v>Overview / Fabric</x:v>
      </x:c>
      <x:c r="I7" s="36" t="str">
        <x:v>https://learn.microsoft.com/en-us/fabric/data-factory/compare-fabric-data-factory-and-azure-data-factory</x:v>
      </x:c>
      <x:c r="J7" s="36" t="str">
        <x:v>Core</x:v>
      </x:c>
      <x:c r="L7" s="48" t="str">
        <x:v>Recommended sequencing</x:v>
      </x:c>
      <x:c r="M7" s="48"/>
      <x:c r="N7" s="48"/>
      <x:c r="O7" s="48"/>
    </x:row>
    <x:row r="8" ht="54" customHeight="1">
      <x:c r="A8" s="36" t="str">
        <x:v>1. ADF Foundations</x:v>
      </x:c>
      <x:c r="B8" s="36" t="n">
        <x:v>3</x:v>
      </x:c>
      <x:c r="C8" s="36" t="str">
        <x:v>ADF Resource Model</x:v>
      </x:c>
      <x:c r="D8" s="36" t="str">
        <x:v>Learn factory, pipeline, activity, dataset, linked service, trigger and pipeline run relationships.</x:v>
      </x:c>
      <x:c r="E8" s="36" t="str">
        <x:v>Draw the object model without mixing connection metadata, data metadata and execution state.</x:v>
      </x:c>
      <x:c r="F8" s="41" t="n">
        <x:v>2</x:v>
      </x:c>
      <x:c r="G8" s="36" t="str">
        <x:v>Produce an ADF object relationship diagram.</x:v>
      </x:c>
      <x:c r="H8" s="36" t="str">
        <x:v>Building Blocks</x:v>
      </x:c>
      <x:c r="I8" s="36" t="str">
        <x:v>https://learn.microsoft.com/en-us/azure/data-factory/concepts-pipelines-activities</x:v>
      </x:c>
      <x:c r="J8" s="36" t="str">
        <x:v>Core</x:v>
      </x:c>
      <x:c r="L8" s="70" t="str">
        <x:v>1) Foundations → 2) Core construction → 3) Control flow → 4) Triggers → 5) Integration Runtime/networking → 6) Copy → 7) Incremental/CDC → 8) Data Flow/reconciliation → 9) Security/monitoring → 10) CI/CD/reliability → 11) Performance/cost → 12) architecture/interview capstone.</x:v>
      </x:c>
      <x:c r="M8" s="70"/>
      <x:c r="N8" s="70"/>
      <x:c r="O8" s="70"/>
    </x:row>
    <x:row r="9" ht="54" customHeight="1">
      <x:c r="A9" s="36" t="str">
        <x:v>1. ADF Foundations</x:v>
      </x:c>
      <x:c r="B9" s="36" t="n">
        <x:v>4</x:v>
      </x:c>
      <x:c r="C9" s="36" t="str">
        <x:v>ADF Mental Model for Managers</x:v>
      </x:c>
      <x:c r="D9" s="36" t="str">
        <x:v>Translate ADF concepts into ownership, risk, SLA, dependency, cost and operational language.</x:v>
      </x:c>
      <x:c r="E9" s="36" t="str">
        <x:v>Explain an ADF design to PO/PM/EM stakeholders without pretending to be an ADF developer.</x:v>
      </x:c>
      <x:c r="F9" s="41" t="n">
        <x:v>2</x:v>
      </x:c>
      <x:c r="G9" s="36" t="str">
        <x:v>Create a one-page manager mental model.</x:v>
      </x:c>
      <x:c r="H9" s="36" t="str">
        <x:v>Manager Lens</x:v>
      </x:c>
      <x:c r="I9" s="36" t="str">
        <x:v>https://learn.microsoft.com/en-us/azure/data-factory/</x:v>
      </x:c>
      <x:c r="J9" s="36" t="str">
        <x:v>Core</x:v>
      </x:c>
      <x:c r="L9" s="70"/>
      <x:c r="M9" s="70"/>
      <x:c r="N9" s="70"/>
      <x:c r="O9" s="70"/>
    </x:row>
    <x:row r="10" ht="54" customHeight="1">
      <x:c r="A10" s="38" t="str">
        <x:v>2. Core ADF Construction</x:v>
      </x:c>
      <x:c r="B10" s="38" t="n">
        <x:v>5</x:v>
      </x:c>
      <x:c r="C10" s="38" t="str">
        <x:v>Linked Services</x:v>
      </x:c>
      <x:c r="D10" s="38" t="str">
        <x:v>Understand connection information, authentication, connectVia and target-system permissions.</x:v>
      </x:c>
      <x:c r="E10" s="38" t="str">
        <x:v>Explain how credentials and connectivity are separated from pipeline logic.</x:v>
      </x:c>
      <x:c r="F10" s="40" t="n">
        <x:v>2</x:v>
      </x:c>
      <x:c r="G10" s="38" t="str">
        <x:v>Build a linked-service decision checklist.</x:v>
      </x:c>
      <x:c r="H10" s="38" t="str">
        <x:v>Linked Services</x:v>
      </x:c>
      <x:c r="I10" s="38" t="str">
        <x:v>https://learn.microsoft.com/en-us/azure/data-factory/concepts-linked-services</x:v>
      </x:c>
      <x:c r="J10" s="38" t="str">
        <x:v>Core</x:v>
      </x:c>
      <x:c r="L10" s="70"/>
      <x:c r="M10" s="70"/>
      <x:c r="N10" s="70"/>
      <x:c r="O10" s="70"/>
    </x:row>
    <x:row r="11" ht="54" customHeight="1">
      <x:c r="A11" s="36" t="str">
        <x:v>2. Core ADF Construction</x:v>
      </x:c>
      <x:c r="B11" s="36" t="n">
        <x:v>6</x:v>
      </x:c>
      <x:c r="C11" s="36" t="str">
        <x:v>Datasets and Parameterisation</x:v>
      </x:c>
      <x:c r="D11" s="36" t="str">
        <x:v>Understand datasets as reusable views of data and parameterise paths, tables and filenames.</x:v>
      </x:c>
      <x:c r="E11" s="36" t="str">
        <x:v>Explain pipeline → dataset parameter flow and avoid hard-coded source/sink definitions.</x:v>
      </x:c>
      <x:c r="F11" s="41" t="n">
        <x:v>3</x:v>
      </x:c>
      <x:c r="G11" s="36" t="str">
        <x:v>Create a parameterised dataset pattern for table/date.</x:v>
      </x:c>
      <x:c r="H11" s="36" t="str">
        <x:v>Datasets / Parameters</x:v>
      </x:c>
      <x:c r="I11" s="36" t="str">
        <x:v>https://learn.microsoft.com/en-us/azure/data-factory/concepts-datasets-linked-services</x:v>
      </x:c>
      <x:c r="J11" s="36" t="str">
        <x:v>Core</x:v>
      </x:c>
      <x:c r="L11" s="70"/>
      <x:c r="M11" s="70"/>
      <x:c r="N11" s="70"/>
      <x:c r="O11" s="70"/>
    </x:row>
    <x:row r="12" ht="54" customHeight="1">
      <x:c r="A12" s="36" t="str">
        <x:v>2. Core ADF Construction</x:v>
      </x:c>
      <x:c r="B12" s="36" t="n">
        <x:v>7</x:v>
      </x:c>
      <x:c r="C12" s="36" t="str">
        <x:v>Pipeline Parameters, Variables and Expressions</x:v>
      </x:c>
      <x:c r="D12" s="36" t="str">
        <x:v>Understand read-only parameters, mutable variables, expression evaluation and dynamic content.</x:v>
      </x:c>
      <x:c r="E12" s="36" t="str">
        <x:v>Correctly choose between parameter, variable and expression and explain parallel-loop variable risk.</x:v>
      </x:c>
      <x:c r="F12" s="41" t="n">
        <x:v>3</x:v>
      </x:c>
      <x:c r="G12" s="36" t="str">
        <x:v>Create a reusable pipeline parameter model.</x:v>
      </x:c>
      <x:c r="H12" s="36" t="str">
        <x:v>Parameters / Variables</x:v>
      </x:c>
      <x:c r="I12" s="36" t="str">
        <x:v>https://learn.microsoft.com/en-us/azure/data-factory/concepts-parameters-variables</x:v>
      </x:c>
      <x:c r="J12" s="36" t="str">
        <x:v>Core</x:v>
      </x:c>
      <x:c r="L12" s="70"/>
      <x:c r="M12" s="70"/>
      <x:c r="N12" s="70"/>
      <x:c r="O12" s="70"/>
    </x:row>
    <x:row r="13" ht="54" customHeight="1">
      <x:c r="A13" s="36" t="str">
        <x:v>2. Core ADF Construction</x:v>
      </x:c>
      <x:c r="B13" s="36" t="n">
        <x:v>8</x:v>
      </x:c>
      <x:c r="C13" s="36" t="str">
        <x:v>Global Parameters and Reusable Configuration</x:v>
      </x:c>
      <x:c r="D13" s="36" t="str">
        <x:v>Understand factory-wide configuration and environment-specific values.</x:v>
      </x:c>
      <x:c r="E13" s="36" t="str">
        <x:v>Explain when a value belongs at pipeline, dataset, linked-service or factory scope.</x:v>
      </x:c>
      <x:c r="F13" s="41" t="n">
        <x:v>2</x:v>
      </x:c>
      <x:c r="G13" s="36" t="str">
        <x:v>Design Dev/Test/Prod configuration boundaries.</x:v>
      </x:c>
      <x:c r="H13" s="36" t="str">
        <x:v>Global Parameters</x:v>
      </x:c>
      <x:c r="I13" s="36" t="str">
        <x:v>https://learn.microsoft.com/en-us/azure/data-factory/author-global-parameters</x:v>
      </x:c>
      <x:c r="J13" s="36" t="str">
        <x:v>Core</x:v>
      </x:c>
      <x:c r="L13" s="59"/>
      <x:c r="M13" s="59"/>
      <x:c r="N13" s="59"/>
      <x:c r="O13" s="59"/>
    </x:row>
    <x:row r="14" ht="54" customHeight="1">
      <x:c r="A14" s="36" t="str">
        <x:v>2. Core ADF Construction</x:v>
      </x:c>
      <x:c r="B14" s="36" t="n">
        <x:v>9</x:v>
      </x:c>
      <x:c r="C14" s="36" t="str">
        <x:v>Activity Types and Execution Semantics</x:v>
      </x:c>
      <x:c r="D14" s="36" t="str">
        <x:v>Understand data movement, transformation and control-flow activities and their execution model.</x:v>
      </x:c>
      <x:c r="E14" s="36" t="str">
        <x:v>Classify an activity correctly and explain what executes in ADF versus a downstream compute service.</x:v>
      </x:c>
      <x:c r="F14" s="41" t="n">
        <x:v>2</x:v>
      </x:c>
      <x:c r="G14" s="36" t="str">
        <x:v>Map 15 common activities to their category and execution location.</x:v>
      </x:c>
      <x:c r="H14" s="36" t="str">
        <x:v>Activities</x:v>
      </x:c>
      <x:c r="I14" s="36" t="str">
        <x:v>https://learn.microsoft.com/en-us/azure/data-factory/concepts-pipelines-activities</x:v>
      </x:c>
      <x:c r="J14" s="36" t="str">
        <x:v>Core</x:v>
      </x:c>
      <x:c r="L14" s="48" t="str">
        <x:v>How to use this roadmap</x:v>
      </x:c>
      <x:c r="M14" s="48"/>
      <x:c r="N14" s="48"/>
      <x:c r="O14" s="48"/>
    </x:row>
    <x:row r="15" ht="54" customHeight="1">
      <x:c r="A15" s="38" t="str">
        <x:v>3. Control Flow &amp; Orchestration</x:v>
      </x:c>
      <x:c r="B15" s="38" t="n">
        <x:v>10</x:v>
      </x:c>
      <x:c r="C15" s="38" t="str">
        <x:v>Dependencies: Success, Failure, Completion and Skip</x:v>
      </x:c>
      <x:c r="D15" s="38" t="str">
        <x:v>Understand dependency conditions and how activity graphs determine pipeline outcomes.</x:v>
      </x:c>
      <x:c r="E15" s="38" t="str">
        <x:v>Design a failure notification and cleanup flow without accidentally masking failures.</x:v>
      </x:c>
      <x:c r="F15" s="40" t="n">
        <x:v>3</x:v>
      </x:c>
      <x:c r="G15" s="38" t="str">
        <x:v>Build a Try/Catch-style control-flow design on paper.</x:v>
      </x:c>
      <x:c r="H15" s="38" t="str">
        <x:v>Control Flow</x:v>
      </x:c>
      <x:c r="I15" s="38" t="str">
        <x:v>https://learn.microsoft.com/en-us/azure/data-factory/tutorial-pipeline-failure-error-handling</x:v>
      </x:c>
      <x:c r="J15" s="38" t="str">
        <x:v>Core</x:v>
      </x:c>
      <x:c r="L15" s="70" t="str">
        <x:v>Each topic has a concrete evidence item. Finish a topic when you can explain the concept, state the architecture trade-off, identify a failure mode, and produce the listed artifact/lab. Use the Progress Tracker as the operational checklist.</x:v>
      </x:c>
      <x:c r="M15" s="70"/>
      <x:c r="N15" s="70"/>
      <x:c r="O15" s="70"/>
    </x:row>
    <x:row r="16" ht="54" customHeight="1">
      <x:c r="A16" s="36" t="str">
        <x:v>3. Control Flow &amp; Orchestration</x:v>
      </x:c>
      <x:c r="B16" s="36" t="n">
        <x:v>11</x:v>
      </x:c>
      <x:c r="C16" s="36" t="str">
        <x:v>Lookup and Get Metadata</x:v>
      </x:c>
      <x:c r="D16" s="36" t="str">
        <x:v>Understand metadata discovery, output limits and common control-table patterns.</x:v>
      </x:c>
      <x:c r="E16" s="36" t="str">
        <x:v>Know when Lookup is appropriate and when its output constraints require a different pattern.</x:v>
      </x:c>
      <x:c r="F16" s="41" t="n">
        <x:v>2</x:v>
      </x:c>
      <x:c r="G16" s="36" t="str">
        <x:v>Design a control-table discovery flow.</x:v>
      </x:c>
      <x:c r="H16" s="36" t="str">
        <x:v>Control Flow</x:v>
      </x:c>
      <x:c r="I16" s="36" t="str">
        <x:v>https://learn.microsoft.com/en-us/azure/data-factory/control-flow-lookup-activity</x:v>
      </x:c>
      <x:c r="J16" s="36" t="str">
        <x:v>Core</x:v>
      </x:c>
      <x:c r="L16" s="70"/>
      <x:c r="M16" s="70"/>
      <x:c r="N16" s="70"/>
      <x:c r="O16" s="70"/>
    </x:row>
    <x:row r="17" ht="54" customHeight="1">
      <x:c r="A17" s="36" t="str">
        <x:v>3. Control Flow &amp; Orchestration</x:v>
      </x:c>
      <x:c r="B17" s="36" t="n">
        <x:v>12</x:v>
      </x:c>
      <x:c r="C17" s="36" t="str">
        <x:v>ForEach, Batch Count and Parallelism</x:v>
      </x:c>
      <x:c r="D17" s="36" t="str">
        <x:v>Understand iteration, parallel execution, batchCount and nesting restrictions.</x:v>
      </x:c>
      <x:c r="E17" s="36" t="str">
        <x:v>Explain why parallel loops can create race conditions and source/sink pressure.</x:v>
      </x:c>
      <x:c r="F17" s="41" t="n">
        <x:v>3</x:v>
      </x:c>
      <x:c r="G17" s="36" t="str">
        <x:v>Design a 1,000-table metadata-driven loop safely.</x:v>
      </x:c>
      <x:c r="H17" s="36" t="str">
        <x:v>Control Flow</x:v>
      </x:c>
      <x:c r="I17" s="36" t="str">
        <x:v>https://learn.microsoft.com/en-us/azure/data-factory/control-flow-for-each-activity</x:v>
      </x:c>
      <x:c r="J17" s="36" t="str">
        <x:v>Core</x:v>
      </x:c>
      <x:c r="L17" s="70"/>
      <x:c r="M17" s="70"/>
      <x:c r="N17" s="70"/>
      <x:c r="O17" s="70"/>
    </x:row>
    <x:row r="18" ht="54" customHeight="1">
      <x:c r="A18" s="36" t="str">
        <x:v>3. Control Flow &amp; Orchestration</x:v>
      </x:c>
      <x:c r="B18" s="36" t="n">
        <x:v>13</x:v>
      </x:c>
      <x:c r="C18" s="36" t="str">
        <x:v>If Condition, Switch, Until and Wait</x:v>
      </x:c>
      <x:c r="D18" s="36" t="str">
        <x:v>Understand branching, polling and controlled repetition.</x:v>
      </x:c>
      <x:c r="E18" s="36" t="str">
        <x:v>Choose the correct control construct instead of overusing nested pipelines.</x:v>
      </x:c>
      <x:c r="F18" s="41" t="n">
        <x:v>2</x:v>
      </x:c>
      <x:c r="G18" s="36" t="str">
        <x:v>Map 5 workflow requirements to the correct activity.</x:v>
      </x:c>
      <x:c r="H18" s="36" t="str">
        <x:v>Control Flow</x:v>
      </x:c>
      <x:c r="I18" s="36" t="str">
        <x:v>https://learn.microsoft.com/en-us/azure/data-factory/concepts-pipelines-activities</x:v>
      </x:c>
      <x:c r="J18" s="36" t="str">
        <x:v>Core</x:v>
      </x:c>
      <x:c r="L18" s="70"/>
      <x:c r="M18" s="70"/>
      <x:c r="N18" s="70"/>
      <x:c r="O18" s="70"/>
    </x:row>
    <x:row r="19" ht="54" customHeight="1">
      <x:c r="A19" s="36" t="str">
        <x:v>3. Control Flow &amp; Orchestration</x:v>
      </x:c>
      <x:c r="B19" s="36" t="n">
        <x:v>14</x:v>
      </x:c>
      <x:c r="C19" s="36" t="str">
        <x:v>Execute Pipeline and Reusable Child Pipelines</x:v>
      </x:c>
      <x:c r="D19" s="36" t="str">
        <x:v>Understand parent/child composition and reusable orchestration units.</x:v>
      </x:c>
      <x:c r="E19" s="36" t="str">
        <x:v>Explain how child pipelines reduce duplication while keeping ownership and observability clear.</x:v>
      </x:c>
      <x:c r="F19" s="41" t="n">
        <x:v>2</x:v>
      </x:c>
      <x:c r="G19" s="36" t="str">
        <x:v>Design a parent pipeline + reusable child pipeline architecture.</x:v>
      </x:c>
      <x:c r="H19" s="36" t="str">
        <x:v>Execute Pipeline</x:v>
      </x:c>
      <x:c r="I19" s="36" t="str">
        <x:v>https://learn.microsoft.com/en-us/azure/data-factory/control-flow-execute-pipeline-activity</x:v>
      </x:c>
      <x:c r="J19" s="36" t="str">
        <x:v>Core</x:v>
      </x:c>
      <x:c r="L19" s="70"/>
      <x:c r="M19" s="70"/>
      <x:c r="N19" s="70"/>
      <x:c r="O19" s="70"/>
    </x:row>
    <x:row r="20" ht="54" customHeight="1">
      <x:c r="A20" s="36" t="str">
        <x:v>3. Control Flow &amp; Orchestration</x:v>
      </x:c>
      <x:c r="B20" s="36" t="n">
        <x:v>15</x:v>
      </x:c>
      <x:c r="C20" s="36" t="str">
        <x:v>Web, Function, Script and Stored Procedure Integration</x:v>
      </x:c>
      <x:c r="D20" s="36" t="str">
        <x:v>Understand when ADF calls external services versus executes database-side logic.</x:v>
      </x:c>
      <x:c r="E20" s="36" t="str">
        <x:v>Choose the right integration mechanism and identify security, timeout and retry implications.</x:v>
      </x:c>
      <x:c r="F20" s="41" t="n">
        <x:v>3</x:v>
      </x:c>
      <x:c r="G20" s="36" t="str">
        <x:v>Create a decision table for Web/Function/Script/Stored Procedure.</x:v>
      </x:c>
      <x:c r="H20" s="36" t="str">
        <x:v>Activity Reference</x:v>
      </x:c>
      <x:c r="I20" s="36" t="str">
        <x:v>https://learn.microsoft.com/en-us/azure/data-factory/concepts-pipelines-activities</x:v>
      </x:c>
      <x:c r="J20" s="36" t="str">
        <x:v>Core</x:v>
      </x:c>
      <x:c r="L20" s="70"/>
      <x:c r="M20" s="70"/>
      <x:c r="N20" s="70"/>
      <x:c r="O20" s="70"/>
    </x:row>
    <x:row r="21" ht="54" customHeight="1">
      <x:c r="A21" s="38" t="str">
        <x:v>4. Triggers &amp; Time</x:v>
      </x:c>
      <x:c r="B21" s="38" t="n">
        <x:v>16</x:v>
      </x:c>
      <x:c r="C21" s="38" t="str">
        <x:v>Schedule Triggers</x:v>
      </x:c>
      <x:c r="D21" s="38" t="str">
        <x:v>Understand wall-clock execution, trigger-run relationships and operational implications.</x:v>
      </x:c>
      <x:c r="E21" s="38" t="str">
        <x:v>Explain why a schedule trigger does not inherently model data completeness for a time window.</x:v>
      </x:c>
      <x:c r="F21" s="40" t="n">
        <x:v>2</x:v>
      </x:c>
      <x:c r="G21" s="38" t="str">
        <x:v>Design a daily 05:15 ingestion schedule.</x:v>
      </x:c>
      <x:c r="H21" s="38" t="str">
        <x:v>Triggers</x:v>
      </x:c>
      <x:c r="I21" s="38" t="str">
        <x:v>https://learn.microsoft.com/en-us/azure/data-factory/concepts-pipeline-execution-triggers</x:v>
      </x:c>
      <x:c r="J21" s="38" t="str">
        <x:v>Core</x:v>
      </x:c>
    </x:row>
    <x:row r="22" ht="54" customHeight="1">
      <x:c r="A22" s="36" t="str">
        <x:v>4. Triggers &amp; Time</x:v>
      </x:c>
      <x:c r="B22" s="36" t="n">
        <x:v>17</x:v>
      </x:c>
      <x:c r="C22" s="36" t="str">
        <x:v>Tumbling Window Triggers</x:v>
      </x:c>
      <x:c r="D22" s="36" t="str">
        <x:v>Understand stateful windows, backfill, retry, delay, concurrency and dependencies.</x:v>
      </x:c>
      <x:c r="E22" s="36" t="str">
        <x:v>Choose tumbling windows when the processing unit is a time window and missed windows matter.</x:v>
      </x:c>
      <x:c r="F22" s="41" t="n">
        <x:v>3</x:v>
      </x:c>
      <x:c r="G22" s="36" t="str">
        <x:v>Design an hourly load with backfill and late-data delay.</x:v>
      </x:c>
      <x:c r="H22" s="36" t="str">
        <x:v>Triggers</x:v>
      </x:c>
      <x:c r="I22" s="36" t="str">
        <x:v>https://learn.microsoft.com/en-us/azure/data-factory/how-to-create-tumbling-window-trigger</x:v>
      </x:c>
      <x:c r="J22" s="36" t="str">
        <x:v>Core</x:v>
      </x:c>
    </x:row>
    <x:row r="23" ht="54" customHeight="1">
      <x:c r="A23" s="36" t="str">
        <x:v>4. Triggers &amp; Time</x:v>
      </x:c>
      <x:c r="B23" s="36" t="n">
        <x:v>18</x:v>
      </x:c>
      <x:c r="C23" s="36" t="str">
        <x:v>Event and Custom Event Triggers</x:v>
      </x:c>
      <x:c r="D23" s="36" t="str">
        <x:v>Understand storage events and custom Event Grid events.</x:v>
      </x:c>
      <x:c r="E23" s="36" t="str">
        <x:v>Select event triggering when data arrival, not wall-clock time, is the true trigger condition.</x:v>
      </x:c>
      <x:c r="F23" s="41" t="n">
        <x:v>2</x:v>
      </x:c>
      <x:c r="G23" s="36" t="str">
        <x:v>Design a file-arrival ingestion trigger with safe filtering.</x:v>
      </x:c>
      <x:c r="H23" s="36" t="str">
        <x:v>Triggers</x:v>
      </x:c>
      <x:c r="I23" s="36" t="str">
        <x:v>https://learn.microsoft.com/en-us/azure/data-factory/how-to-create-event-trigger</x:v>
      </x:c>
      <x:c r="J23" s="36" t="str">
        <x:v>Core</x:v>
      </x:c>
    </x:row>
    <x:row r="24" ht="54" customHeight="1">
      <x:c r="A24" s="36" t="str">
        <x:v>4. Triggers &amp; Time</x:v>
      </x:c>
      <x:c r="B24" s="36" t="n">
        <x:v>19</x:v>
      </x:c>
      <x:c r="C24" s="36" t="str">
        <x:v>Time Zones and Window Semantics</x:v>
      </x:c>
      <x:c r="D24" s="36" t="str">
        <x:v>Understand UTC, daylight-saving behavior and window boundaries.</x:v>
      </x:c>
      <x:c r="E24" s="36" t="str">
        <x:v>Explain how time-zone choices affect schedules, partitions and reconciliation.</x:v>
      </x:c>
      <x:c r="F24" s="41" t="n">
        <x:v>2</x:v>
      </x:c>
      <x:c r="G24" s="36" t="str">
        <x:v>Create a UTC-based scheduling standard.</x:v>
      </x:c>
      <x:c r="H24" s="36" t="str">
        <x:v>Triggers</x:v>
      </x:c>
      <x:c r="I24" s="36" t="str">
        <x:v>https://learn.microsoft.com/en-us/azure/data-factory/concepts-pipeline-execution-triggers</x:v>
      </x:c>
      <x:c r="J24" s="36" t="str">
        <x:v>Core</x:v>
      </x:c>
    </x:row>
    <x:row r="25" ht="54" customHeight="1">
      <x:c r="A25" s="38" t="str">
        <x:v>5. Integration Runtime &amp; Networking</x:v>
      </x:c>
      <x:c r="B25" s="38" t="n">
        <x:v>20</x:v>
      </x:c>
      <x:c r="C25" s="38" t="str">
        <x:v>Integration Runtime Fundamentals</x:v>
      </x:c>
      <x:c r="D25" s="38" t="str">
        <x:v>Understand Azure IR, Self-hosted IR and Azure-SSIS IR as the three main IR families.</x:v>
      </x:c>
      <x:c r="E25" s="38" t="str">
        <x:v>Select the appropriate runtime based on connectivity, execution type and operational ownership.</x:v>
      </x:c>
      <x:c r="F25" s="40" t="n">
        <x:v>3</x:v>
      </x:c>
      <x:c r="G25" s="38" t="str">
        <x:v>Create an IR decision tree.</x:v>
      </x:c>
      <x:c r="H25" s="38" t="str">
        <x:v>Integration Runtime</x:v>
      </x:c>
      <x:c r="I25" s="38" t="str">
        <x:v>https://learn.microsoft.com/en-us/azure/data-factory/concepts-integration-runtime</x:v>
      </x:c>
      <x:c r="J25" s="38" t="str">
        <x:v>Core</x:v>
      </x:c>
    </x:row>
    <x:row r="26" ht="54" customHeight="1">
      <x:c r="A26" s="36" t="str">
        <x:v>5. Integration Runtime &amp; Networking</x:v>
      </x:c>
      <x:c r="B26" s="36" t="n">
        <x:v>21</x:v>
      </x:c>
      <x:c r="C26" s="36" t="str">
        <x:v>Self-hosted IR Architecture and Operations</x:v>
      </x:c>
      <x:c r="D26" s="36" t="str">
        <x:v>Understand SHIR installation, network reachability, scale-out/HA, patching, proxies and ownership.</x:v>
      </x:c>
      <x:c r="E26" s="36" t="str">
        <x:v>Explain why SHIR is production infrastructure and what the support model must contain.</x:v>
      </x:c>
      <x:c r="F26" s="41" t="n">
        <x:v>4</x:v>
      </x:c>
      <x:c r="G26" s="36" t="str">
        <x:v>Write a SHIR production handover checklist.</x:v>
      </x:c>
      <x:c r="H26" s="36" t="str">
        <x:v>Self-hosted IR</x:v>
      </x:c>
      <x:c r="I26" s="36" t="str">
        <x:v>https://learn.microsoft.com/en-us/azure/data-factory/create-self-hosted-integration-runtime</x:v>
      </x:c>
      <x:c r="J26" s="36" t="str">
        <x:v>Core</x:v>
      </x:c>
    </x:row>
    <x:row r="27" ht="54" customHeight="1">
      <x:c r="A27" s="36" t="str">
        <x:v>5. Integration Runtime &amp; Networking</x:v>
      </x:c>
      <x:c r="B27" s="36" t="n">
        <x:v>22</x:v>
      </x:c>
      <x:c r="C27" s="36" t="str">
        <x:v>Managed VNet and Managed Private Endpoints</x:v>
      </x:c>
      <x:c r="D27" s="36" t="str">
        <x:v>Understand Managed VNet as an Azure IR configuration and how managed private endpoints provide private connectivity.</x:v>
      </x:c>
      <x:c r="E27" s="36" t="str">
        <x:v>Distinguish Managed VNet, managed private endpoint and a private endpoint for the Data Factory service.</x:v>
      </x:c>
      <x:c r="F27" s="41" t="n">
        <x:v>4</x:v>
      </x:c>
      <x:c r="G27" s="36" t="str">
        <x:v>Draw a private ADF network topology.</x:v>
      </x:c>
      <x:c r="H27" s="36" t="str">
        <x:v>Networking</x:v>
      </x:c>
      <x:c r="I27" s="36" t="str">
        <x:v>https://learn.microsoft.com/en-us/azure/data-factory/managed-virtual-network-private-endpoint</x:v>
      </x:c>
      <x:c r="J27" s="36" t="str">
        <x:v>Core</x:v>
      </x:c>
    </x:row>
    <x:row r="28" ht="54" customHeight="1">
      <x:c r="A28" s="36" t="str">
        <x:v>5. Integration Runtime &amp; Networking</x:v>
      </x:c>
      <x:c r="B28" s="36" t="n">
        <x:v>23</x:v>
      </x:c>
      <x:c r="C28" s="36" t="str">
        <x:v>On-premises Connectivity and Network Paths</x:v>
      </x:c>
      <x:c r="D28" s="36" t="str">
        <x:v>Understand SHIR, ExpressRoute, VPN, Private Link and firewall constraints.</x:v>
      </x:c>
      <x:c r="E28" s="36" t="str">
        <x:v>Explain the network path instead of saying 'SHIR removes networking'.</x:v>
      </x:c>
      <x:c r="F28" s="41" t="n">
        <x:v>3</x:v>
      </x:c>
      <x:c r="G28" s="36" t="str">
        <x:v>Compare three on-premises connectivity topologies.</x:v>
      </x:c>
      <x:c r="H28" s="36" t="str">
        <x:v>Networking</x:v>
      </x:c>
      <x:c r="I28" s="36" t="str">
        <x:v>https://learn.microsoft.com/en-us/azure/data-factory/choose-the-right-integration-runtime-configuration</x:v>
      </x:c>
      <x:c r="J28" s="36" t="str">
        <x:v>Core</x:v>
      </x:c>
    </x:row>
    <x:row r="29" ht="54" customHeight="1">
      <x:c r="A29" s="36" t="str">
        <x:v>5. Integration Runtime &amp; Networking</x:v>
      </x:c>
      <x:c r="B29" s="36" t="n">
        <x:v>24</x:v>
      </x:c>
      <x:c r="C29" s="36" t="str">
        <x:v>Private Endpoint vs Managed Private Endpoint</x:v>
      </x:c>
      <x:c r="D29" s="36" t="str">
        <x:v>Understand the separate purposes of private access to the factory service versus target data stores.</x:v>
      </x:c>
      <x:c r="E29" s="36" t="str">
        <x:v>Avoid conflating authoring/control traffic with data-plane connectivity.</x:v>
      </x:c>
      <x:c r="F29" s="41" t="n">
        <x:v>2</x:v>
      </x:c>
      <x:c r="G29" s="36" t="str">
        <x:v>Create a four-term networking glossary.</x:v>
      </x:c>
      <x:c r="H29" s="36" t="str">
        <x:v>Networking</x:v>
      </x:c>
      <x:c r="I29" s="36" t="str">
        <x:v>https://learn.microsoft.com/en-us/azure/data-factory/data-factory-private-link</x:v>
      </x:c>
      <x:c r="J29" s="36" t="str">
        <x:v>Core</x:v>
      </x:c>
    </x:row>
    <x:row r="30" ht="54" customHeight="1">
      <x:c r="A30" s="38" t="str">
        <x:v>6. Copy &amp; Data Movement</x:v>
      </x:c>
      <x:c r="B30" s="38" t="n">
        <x:v>25</x:v>
      </x:c>
      <x:c r="C30" s="38" t="str">
        <x:v>Copy Activity Fundamentals</x:v>
      </x:c>
      <x:c r="D30" s="38" t="str">
        <x:v>Understand source → read/serialize → map/convert → write/sink flow.</x:v>
      </x:c>
      <x:c r="E30" s="38" t="str">
        <x:v>Explain where Copy runs and what it does itself versus what downstream engines do.</x:v>
      </x:c>
      <x:c r="F30" s="40" t="n">
        <x:v>3</x:v>
      </x:c>
      <x:c r="G30" s="38" t="str">
        <x:v>Design one cloud-to-cloud and one hybrid copy pipeline.</x:v>
      </x:c>
      <x:c r="H30" s="38" t="str">
        <x:v>Copy Activity</x:v>
      </x:c>
      <x:c r="I30" s="38" t="str">
        <x:v>https://learn.microsoft.com/en-us/azure/data-factory/copy-activity-overview</x:v>
      </x:c>
      <x:c r="J30" s="38" t="str">
        <x:v>Core</x:v>
      </x:c>
    </x:row>
    <x:row r="31" ht="54" customHeight="1">
      <x:c r="A31" s="36" t="str">
        <x:v>6. Copy &amp; Data Movement</x:v>
      </x:c>
      <x:c r="B31" s="36" t="n">
        <x:v>26</x:v>
      </x:c>
      <x:c r="C31" s="36" t="str">
        <x:v>Connectors, Formats and Capability Matrix</x:v>
      </x:c>
      <x:c r="D31" s="36" t="str">
        <x:v>Understand that connector capability is connector/version-specific and should be verified against current Microsoft documentation.</x:v>
      </x:c>
      <x:c r="E31" s="36" t="str">
        <x:v>Avoid memorising stale source-only/sink-only lists; verify capability when designing.</x:v>
      </x:c>
      <x:c r="F31" s="41" t="n">
        <x:v>3</x:v>
      </x:c>
      <x:c r="G31" s="36" t="str">
        <x:v>Build a connector capability checklist for SQL, Oracle, S3, ADLS and REST.</x:v>
      </x:c>
      <x:c r="H31" s="36" t="str">
        <x:v>Connectors</x:v>
      </x:c>
      <x:c r="I31" s="36" t="str">
        <x:v>https://learn.microsoft.com/en-us/azure/data-factory/connector-overview</x:v>
      </x:c>
      <x:c r="J31" s="36" t="str">
        <x:v>Core</x:v>
      </x:c>
    </x:row>
    <x:row r="32" ht="54" customHeight="1">
      <x:c r="A32" s="36" t="str">
        <x:v>6. Copy &amp; Data Movement</x:v>
      </x:c>
      <x:c r="B32" s="36" t="n">
        <x:v>27</x:v>
      </x:c>
      <x:c r="C32" s="36" t="str">
        <x:v>Schema Mapping and Type Conversion</x:v>
      </x:c>
      <x:c r="D32" s="36" t="str">
        <x:v>Understand column mapping, type conversion, truncation and explicit mapping.</x:v>
      </x:c>
      <x:c r="E32" s="36" t="str">
        <x:v>Identify precision-loss and schema-mismatch risks before production.</x:v>
      </x:c>
      <x:c r="F32" s="41" t="n">
        <x:v>3</x:v>
      </x:c>
      <x:c r="G32" s="36" t="str">
        <x:v>Create a type-conversion risk checklist.</x:v>
      </x:c>
      <x:c r="H32" s="36" t="str">
        <x:v>Copy Activity</x:v>
      </x:c>
      <x:c r="I32" s="36" t="str">
        <x:v>https://learn.microsoft.com/en-us/azure/data-factory/copy-activity-schema-and-type-mapping</x:v>
      </x:c>
      <x:c r="J32" s="36" t="str">
        <x:v>Core</x:v>
      </x:c>
    </x:row>
    <x:row r="33" ht="54" customHeight="1">
      <x:c r="A33" s="36" t="str">
        <x:v>6. Copy &amp; Data Movement</x:v>
      </x:c>
      <x:c r="B33" s="36" t="n">
        <x:v>28</x:v>
      </x:c>
      <x:c r="C33" s="36" t="str">
        <x:v>Fault Tolerance and Skipped Rows</x:v>
      </x:c>
      <x:c r="D33" s="36" t="str">
        <x:v>Understand incompatible-row behavior, skipped rows and session logs.</x:v>
      </x:c>
      <x:c r="E33" s="36" t="str">
        <x:v>Decide when to fail a load versus quarantine bad records and who owns the resulting data-quality workflow.</x:v>
      </x:c>
      <x:c r="F33" s="41" t="n">
        <x:v>3</x:v>
      </x:c>
      <x:c r="G33" s="36" t="str">
        <x:v>Design a bad-row quarantine operating model.</x:v>
      </x:c>
      <x:c r="H33" s="36" t="str">
        <x:v>Copy Activity</x:v>
      </x:c>
      <x:c r="I33" s="36" t="str">
        <x:v>https://learn.microsoft.com/en-us/azure/data-factory/copy-activity-fault-tolerance</x:v>
      </x:c>
      <x:c r="J33" s="36" t="str">
        <x:v>Core</x:v>
      </x:c>
    </x:row>
    <x:row r="34" ht="54" customHeight="1">
      <x:c r="A34" s="36" t="str">
        <x:v>6. Copy &amp; Data Movement</x:v>
      </x:c>
      <x:c r="B34" s="36" t="n">
        <x:v>29</x:v>
      </x:c>
      <x:c r="C34" s="36" t="str">
        <x:v>Data Consistency Verification</x:v>
      </x:c>
      <x:c r="D34" s="36" t="str">
        <x:v>Understand what ADF can verify automatically and what it cannot prove.</x:v>
      </x:c>
      <x:c r="E34" s="36" t="str">
        <x:v>Explain why 'verified' does not equal business-level correctness.</x:v>
      </x:c>
      <x:c r="F34" s="41" t="n">
        <x:v>2</x:v>
      </x:c>
      <x:c r="G34" s="36" t="str">
        <x:v>Define a migration acceptance criterion beyond Copy success.</x:v>
      </x:c>
      <x:c r="H34" s="36" t="str">
        <x:v>Copy Activity</x:v>
      </x:c>
      <x:c r="I34" s="36" t="str">
        <x:v>https://learn.microsoft.com/en-us/azure/data-factory/copy-activity-data-consistency</x:v>
      </x:c>
      <x:c r="J34" s="36" t="str">
        <x:v>Core</x:v>
      </x:c>
    </x:row>
    <x:row r="35" ht="54" customHeight="1">
      <x:c r="A35" s="36" t="str">
        <x:v>6. Copy &amp; Data Movement</x:v>
      </x:c>
      <x:c r="B35" s="36" t="n">
        <x:v>30</x:v>
      </x:c>
      <x:c r="C35" s="36" t="str">
        <x:v>Staged Copy, Resume and Large File Handling</x:v>
      </x:c>
      <x:c r="D35" s="36" t="str">
        <x:v>Understand staged copy, file hierarchy requirements and supported resume scenarios.</x:v>
      </x:c>
      <x:c r="E35" s="36" t="str">
        <x:v>Design recovery around what ADF actually resumes instead of assuming all copies checkpoint.</x:v>
      </x:c>
      <x:c r="F35" s="41" t="n">
        <x:v>3</x:v>
      </x:c>
      <x:c r="G35" s="36" t="str">
        <x:v>Create a copy-recovery decision tree.</x:v>
      </x:c>
      <x:c r="H35" s="36" t="str">
        <x:v>Copy Activity</x:v>
      </x:c>
      <x:c r="I35" s="36" t="str">
        <x:v>https://learn.microsoft.com/en-us/azure/data-factory/copy-activity-overview</x:v>
      </x:c>
      <x:c r="J35" s="36" t="str">
        <x:v>Core</x:v>
      </x:c>
    </x:row>
    <x:row r="36" ht="54" customHeight="1">
      <x:c r="A36" s="38" t="str">
        <x:v>7. Incremental Loading &amp; Metadata</x:v>
      </x:c>
      <x:c r="B36" s="38" t="n">
        <x:v>31</x:v>
      </x:c>
      <x:c r="C36" s="38" t="str">
        <x:v>Full Load vs Incremental Load</x:v>
      </x:c>
      <x:c r="D36" s="38" t="str">
        <x:v>Understand initial snapshot, delta loads and when full reload remains appropriate.</x:v>
      </x:c>
      <x:c r="E36" s="38" t="str">
        <x:v>Choose a loading strategy based on source capabilities, volume and recovery needs.</x:v>
      </x:c>
      <x:c r="F36" s="40" t="n">
        <x:v>2</x:v>
      </x:c>
      <x:c r="G36" s="38" t="str">
        <x:v>Create a load-strategy decision table.</x:v>
      </x:c>
      <x:c r="H36" s="38" t="str">
        <x:v>Incremental Copy</x:v>
      </x:c>
      <x:c r="I36" s="38" t="str">
        <x:v>https://learn.microsoft.com/en-us/azure/data-factory/tutorial-incremental-copy-overview</x:v>
      </x:c>
      <x:c r="J36" s="38" t="str">
        <x:v>Core</x:v>
      </x:c>
    </x:row>
    <x:row r="37" ht="54" customHeight="1">
      <x:c r="A37" s="36" t="str">
        <x:v>7. Incremental Loading &amp; Metadata</x:v>
      </x:c>
      <x:c r="B37" s="36" t="n">
        <x:v>32</x:v>
      </x:c>
      <x:c r="C37" s="36" t="str">
        <x:v>Watermark Patterns</x:v>
      </x:c>
      <x:c r="D37" s="36" t="str">
        <x:v>Understand monotonic IDs, last-modified timestamps, high-water marks and delete limitations.</x:v>
      </x:c>
      <x:c r="E37" s="36" t="str">
        <x:v>Design a watermark safely and explain failure cases such as late updates and clock problems.</x:v>
      </x:c>
      <x:c r="F37" s="41" t="n">
        <x:v>3</x:v>
      </x:c>
      <x:c r="G37" s="36" t="str">
        <x:v>Build a watermark control-table design.</x:v>
      </x:c>
      <x:c r="H37" s="36" t="str">
        <x:v>Incremental Copy</x:v>
      </x:c>
      <x:c r="I37" s="36" t="str">
        <x:v>https://learn.microsoft.com/en-us/azure/data-factory/tutorial-incremental-copy-overview</x:v>
      </x:c>
      <x:c r="J37" s="36" t="str">
        <x:v>Core</x:v>
      </x:c>
    </x:row>
    <x:row r="38" ht="54" customHeight="1">
      <x:c r="A38" s="36" t="str">
        <x:v>7. Incremental Loading &amp; Metadata</x:v>
      </x:c>
      <x:c r="B38" s="36" t="n">
        <x:v>33</x:v>
      </x:c>
      <x:c r="C38" s="36" t="str">
        <x:v>Change Tracking and CDC</x:v>
      </x:c>
      <x:c r="D38" s="36" t="str">
        <x:v>Understand Change Tracking vs CDC and their source-system prerequisites.</x:v>
      </x:c>
      <x:c r="E38" s="36" t="str">
        <x:v>Explain when a watermark is insufficient because updates/deletes must be observed.</x:v>
      </x:c>
      <x:c r="F38" s="41" t="n">
        <x:v>4</x:v>
      </x:c>
      <x:c r="G38" s="36" t="str">
        <x:v>Compare watermark, Change Tracking and CDC for three databases.</x:v>
      </x:c>
      <x:c r="H38" s="36" t="str">
        <x:v>CDC</x:v>
      </x:c>
      <x:c r="I38" s="36" t="str">
        <x:v>https://learn.microsoft.com/en-us/azure/data-factory/concepts-change-data-capture</x:v>
      </x:c>
      <x:c r="J38" s="36" t="str">
        <x:v>Core</x:v>
      </x:c>
    </x:row>
    <x:row r="39" ht="54" customHeight="1">
      <x:c r="A39" s="36" t="str">
        <x:v>7. Incremental Loading &amp; Metadata</x:v>
      </x:c>
      <x:c r="B39" s="36" t="n">
        <x:v>34</x:v>
      </x:c>
      <x:c r="C39" s="36" t="str">
        <x:v>CDC Checkpoints and Rename Risk</x:v>
      </x:c>
      <x:c r="D39" s="36" t="str">
        <x:v>Understand checkpoint identity, current Microsoft documentation differences and explicit-key practices.</x:v>
      </x:c>
      <x:c r="E39" s="36" t="str">
        <x:v>Explain the current uncertainty accurately instead of giving a universal rename rule.</x:v>
      </x:c>
      <x:c r="F39" s="41" t="n">
        <x:v>2</x:v>
      </x:c>
      <x:c r="G39" s="36" t="str">
        <x:v>Write a CDC rename/change-management runbook.</x:v>
      </x:c>
      <x:c r="H39" s="36" t="str">
        <x:v>CDC</x:v>
      </x:c>
      <x:c r="I39" s="36" t="str">
        <x:v>https://learn.microsoft.com/en-us/azure/data-factory/concepts-change-data-capture</x:v>
      </x:c>
      <x:c r="J39" s="36" t="str">
        <x:v>Core</x:v>
      </x:c>
    </x:row>
    <x:row r="40" ht="54" customHeight="1">
      <x:c r="A40" s="36" t="str">
        <x:v>7. Incremental Loading &amp; Metadata</x:v>
      </x:c>
      <x:c r="B40" s="36" t="n">
        <x:v>35</x:v>
      </x:c>
      <x:c r="C40" s="36" t="str">
        <x:v>Metadata-Driven Pipelines</x:v>
      </x:c>
      <x:c r="D40" s="36" t="str">
        <x:v>Understand control tables, reusable pipelines, parameterised datasets and dynamic execution.</x:v>
      </x:c>
      <x:c r="E40" s="36" t="str">
        <x:v>Design one pipeline serving many tables without turning the metadata layer into an ungoverned framework.</x:v>
      </x:c>
      <x:c r="F40" s="41" t="n">
        <x:v>4</x:v>
      </x:c>
      <x:c r="G40" s="36" t="str">
        <x:v>Design a metadata-driven ingestion framework.</x:v>
      </x:c>
      <x:c r="H40" s="36" t="str">
        <x:v>Templates / Parameters</x:v>
      </x:c>
      <x:c r="I40" s="36" t="str">
        <x:v>https://learn.microsoft.com/en-us/azure/data-factory/solution-template-bulk-copy-with-control-table</x:v>
      </x:c>
      <x:c r="J40" s="36" t="str">
        <x:v>Core</x:v>
      </x:c>
    </x:row>
    <x:row r="41" ht="54" customHeight="1">
      <x:c r="A41" s="38" t="str">
        <x:v>8. Data Flows &amp; Reconciliation</x:v>
      </x:c>
      <x:c r="B41" s="38" t="n">
        <x:v>36</x:v>
      </x:c>
      <x:c r="C41" s="38" t="str">
        <x:v>Mapping Data Flows</x:v>
      </x:c>
      <x:c r="D41" s="38" t="str">
        <x:v>Understand visual transformations running on ADF-managed Spark.</x:v>
      </x:c>
      <x:c r="E41" s="38" t="str">
        <x:v>Know when Mapping Data Flow is appropriate versus Databricks or SQL.</x:v>
      </x:c>
      <x:c r="F41" s="40" t="n">
        <x:v>3</x:v>
      </x:c>
      <x:c r="G41" s="38" t="str">
        <x:v>Create a transformation-selection matrix.</x:v>
      </x:c>
      <x:c r="H41" s="38" t="str">
        <x:v>Data Flow</x:v>
      </x:c>
      <x:c r="I41" s="38" t="str">
        <x:v>https://learn.microsoft.com/en-us/azure/data-factory/concepts-data-flow-overview</x:v>
      </x:c>
      <x:c r="J41" s="38" t="str">
        <x:v>Core</x:v>
      </x:c>
    </x:row>
    <x:row r="42" ht="54" customHeight="1">
      <x:c r="A42" s="36" t="str">
        <x:v>8. Data Flows &amp; Reconciliation</x:v>
      </x:c>
      <x:c r="B42" s="36" t="n">
        <x:v>37</x:v>
      </x:c>
      <x:c r="C42" s="36" t="str">
        <x:v>Schema Drift and Data Flow Design</x:v>
      </x:c>
      <x:c r="D42" s="36" t="str">
        <x:v>Understand schema drift and how it affects resilient ingestion.</x:v>
      </x:c>
      <x:c r="E42" s="36" t="str">
        <x:v>Make schema evolution a deliberate design decision rather than an accidental behavior.</x:v>
      </x:c>
      <x:c r="F42" s="41" t="n">
        <x:v>2</x:v>
      </x:c>
      <x:c r="G42" s="36" t="str">
        <x:v>Define schema-evolution rules for a lake ingestion domain.</x:v>
      </x:c>
      <x:c r="H42" s="36" t="str">
        <x:v>Data Flow</x:v>
      </x:c>
      <x:c r="I42" s="36" t="str">
        <x:v>https://learn.microsoft.com/en-us/azure/data-factory/concepts-data-flow-schema-drift</x:v>
      </x:c>
      <x:c r="J42" s="36" t="str">
        <x:v>Core</x:v>
      </x:c>
    </x:row>
    <x:row r="43" ht="54" customHeight="1">
      <x:c r="A43" s="36" t="str">
        <x:v>8. Data Flows &amp; Reconciliation</x:v>
      </x:c>
      <x:c r="B43" s="36" t="n">
        <x:v>38</x:v>
      </x:c>
      <x:c r="C43" s="36" t="str">
        <x:v>Reconciliation: Counts, Profiles and Row Fingerprints</x:v>
      </x:c>
      <x:c r="D43" s="36" t="str">
        <x:v>Understand multi-level validation: counts, aggregates, distributions, row hashes and business rules.</x:v>
      </x:c>
      <x:c r="E43" s="36" t="str">
        <x:v>Design reconciliation that can detect offsetting errors, not just matched totals.</x:v>
      </x:c>
      <x:c r="F43" s="41" t="n">
        <x:v>4</x:v>
      </x:c>
      <x:c r="G43" s="36" t="str">
        <x:v>Create a five-level migration reconciliation plan.</x:v>
      </x:c>
      <x:c r="H43" s="36" t="str">
        <x:v>Data Flow / Assert</x:v>
      </x:c>
      <x:c r="I43" s="36" t="str">
        <x:v>https://learn.microsoft.com/en-us/azure/data-factory/data-flow-assert</x:v>
      </x:c>
      <x:c r="J43" s="36" t="str">
        <x:v>Core</x:v>
      </x:c>
    </x:row>
    <x:row r="44" ht="54" customHeight="1">
      <x:c r="A44" s="36" t="str">
        <x:v>8. Data Flows &amp; Reconciliation</x:v>
      </x:c>
      <x:c r="B44" s="36" t="n">
        <x:v>39</x:v>
      </x:c>
      <x:c r="C44" s="36" t="str">
        <x:v>Assert, Error Rows and Business Rules</x:v>
      </x:c>
      <x:c r="D44" s="36" t="str">
        <x:v>Understand data-quality assertions and error handling in Data Flows.</x:v>
      </x:c>
      <x:c r="E44" s="36" t="str">
        <x:v>Turn business rules into explicit acceptance criteria and failure paths.</x:v>
      </x:c>
      <x:c r="F44" s="41" t="n">
        <x:v>3</x:v>
      </x:c>
      <x:c r="G44" s="36" t="str">
        <x:v>Implement a logical data-quality gate design.</x:v>
      </x:c>
      <x:c r="H44" s="36" t="str">
        <x:v>Data Flow / Assert</x:v>
      </x:c>
      <x:c r="I44" s="36" t="str">
        <x:v>https://learn.microsoft.com/en-us/azure/data-factory/data-flow-assert</x:v>
      </x:c>
      <x:c r="J44" s="36" t="str">
        <x:v>Core</x:v>
      </x:c>
    </x:row>
    <x:row r="45" ht="54" customHeight="1">
      <x:c r="A45" s="36" t="str">
        <x:v>8. Data Flows &amp; Reconciliation</x:v>
      </x:c>
      <x:c r="B45" s="36" t="n">
        <x:v>40</x:v>
      </x:c>
      <x:c r="C45" s="36" t="str">
        <x:v>Data Flow Performance Fundamentals</x:v>
      </x:c>
      <x:c r="D45" s="36" t="str">
        <x:v>Understand cluster startup, TTL, partitioning, skew and shuffle-related tuning.</x:v>
      </x:c>
      <x:c r="E45" s="36" t="str">
        <x:v>Diagnose the actual bottleneck before changing cluster size or partition settings.</x:v>
      </x:c>
      <x:c r="F45" s="41" t="n">
        <x:v>4</x:v>
      </x:c>
      <x:c r="G45" s="36" t="str">
        <x:v>Create a Data Flow performance troubleshooting checklist.</x:v>
      </x:c>
      <x:c r="H45" s="36" t="str">
        <x:v>Performance</x:v>
      </x:c>
      <x:c r="I45" s="36" t="str">
        <x:v>https://learn.microsoft.com/en-us/azure/data-factory/concepts-data-flow-performance</x:v>
      </x:c>
      <x:c r="J45" s="36" t="str">
        <x:v>Core</x:v>
      </x:c>
    </x:row>
    <x:row r="46" ht="54" customHeight="1">
      <x:c r="A46" s="38" t="str">
        <x:v>9. Security, Governance &amp; Monitoring</x:v>
      </x:c>
      <x:c r="B46" s="38" t="n">
        <x:v>41</x:v>
      </x:c>
      <x:c r="C46" s="38" t="str">
        <x:v>Managed Identity, Key Vault and Authentication</x:v>
      </x:c>
      <x:c r="D46" s="38" t="str">
        <x:v>Understand identity choices, secrets management and connector-specific authentication.</x:v>
      </x:c>
      <x:c r="E46" s="38" t="str">
        <x:v>Design credential handling without hard-coding secrets and explain authentication trade-offs.</x:v>
      </x:c>
      <x:c r="F46" s="40" t="n">
        <x:v>3</x:v>
      </x:c>
      <x:c r="G46" s="38" t="str">
        <x:v>Create an enterprise credential-management pattern.</x:v>
      </x:c>
      <x:c r="H46" s="38" t="str">
        <x:v>Security</x:v>
      </x:c>
      <x:c r="I46" s="38" t="str">
        <x:v>https://learn.microsoft.com/en-us/azure/data-factory/credentials</x:v>
      </x:c>
      <x:c r="J46" s="38" t="str">
        <x:v>Core</x:v>
      </x:c>
    </x:row>
    <x:row r="47" ht="54" customHeight="1">
      <x:c r="A47" s="36" t="str">
        <x:v>9. Security, Governance &amp; Monitoring</x:v>
      </x:c>
      <x:c r="B47" s="36" t="n">
        <x:v>42</x:v>
      </x:c>
      <x:c r="C47" s="36" t="str">
        <x:v>CMK and Factory Encryption</x:v>
      </x:c>
      <x:c r="D47" s="36" t="str">
        <x:v>Understand CMK setup paths, prerequisites, immutability and key-management consequences.</x:v>
      </x:c>
      <x:c r="E47" s="36" t="str">
        <x:v>Explain when encryption choices must be made early in the factory lifecycle.</x:v>
      </x:c>
      <x:c r="F47" s="41" t="n">
        <x:v>2</x:v>
      </x:c>
      <x:c r="G47" s="36" t="str">
        <x:v>Create a CMK decision checklist.</x:v>
      </x:c>
      <x:c r="H47" s="36" t="str">
        <x:v>Security</x:v>
      </x:c>
      <x:c r="I47" s="36" t="str">
        <x:v>https://learn.microsoft.com/en-us/azure/data-factory/enable-customer-managed-key</x:v>
      </x:c>
      <x:c r="J47" s="36" t="str">
        <x:v>Core</x:v>
      </x:c>
    </x:row>
    <x:row r="48" ht="54" customHeight="1">
      <x:c r="A48" s="36" t="str">
        <x:v>9. Security, Governance &amp; Monitoring</x:v>
      </x:c>
      <x:c r="B48" s="36" t="n">
        <x:v>43</x:v>
      </x:c>
      <x:c r="C48" s="36" t="str">
        <x:v>Trusted Service: Legacy vs Modern</x:v>
      </x:c>
      <x:c r="D48" s="36" t="str">
        <x:v>Understand Legacy/Modern trusted-service modes and the enterprise migration implication.</x:v>
      </x:c>
      <x:c r="E48" s="36" t="str">
        <x:v>Explain the current recommended direction and avoid assuming firewall bypass is timeless.</x:v>
      </x:c>
      <x:c r="F48" s="41" t="n">
        <x:v>2</x:v>
      </x:c>
      <x:c r="G48" s="36" t="str">
        <x:v>Create a legacy-to-modern migration watch item.</x:v>
      </x:c>
      <x:c r="H48" s="36" t="str">
        <x:v>Security</x:v>
      </x:c>
      <x:c r="I48" s="36" t="str">
        <x:v>https://learn.microsoft.com/en-us/azure/data-factory/modern-trusted-service</x:v>
      </x:c>
      <x:c r="J48" s="36" t="str">
        <x:v>Core</x:v>
      </x:c>
    </x:row>
    <x:row r="49" ht="54" customHeight="1">
      <x:c r="A49" s="36" t="str">
        <x:v>9. Security, Governance &amp; Monitoring</x:v>
      </x:c>
      <x:c r="B49" s="36" t="n">
        <x:v>44</x:v>
      </x:c>
      <x:c r="C49" s="36" t="str">
        <x:v>Monitoring, Alerts and Run History</x:v>
      </x:c>
      <x:c r="D49" s="36" t="str">
        <x:v>Understand pipeline runs, activity runs, diagnostics, alerts and retention.</x:v>
      </x:c>
      <x:c r="E49" s="36" t="str">
        <x:v>Define what operations should monitor beyond a green pipeline status.</x:v>
      </x:c>
      <x:c r="F49" s="41" t="n">
        <x:v>3</x:v>
      </x:c>
      <x:c r="G49" s="36" t="str">
        <x:v>Create a production monitoring checklist and alert matrix.</x:v>
      </x:c>
      <x:c r="H49" s="36" t="str">
        <x:v>Monitoring</x:v>
      </x:c>
      <x:c r="I49" s="36" t="str">
        <x:v>https://learn.microsoft.com/en-us/azure/data-factory/monitor-data-factory</x:v>
      </x:c>
      <x:c r="J49" s="36" t="str">
        <x:v>Core</x:v>
      </x:c>
    </x:row>
    <x:row r="50" ht="54" customHeight="1">
      <x:c r="A50" s="36" t="str">
        <x:v>9. Security, Governance &amp; Monitoring</x:v>
      </x:c>
      <x:c r="B50" s="36" t="n">
        <x:v>45</x:v>
      </x:c>
      <x:c r="C50" s="36" t="str">
        <x:v>Operational Logging and Sensitive Data</x:v>
      </x:c>
      <x:c r="D50" s="36" t="str">
        <x:v>Understand secureInput/secureOutput, monitoring exposure and the risks of session logs/data preview.</x:v>
      </x:c>
      <x:c r="E50" s="36" t="str">
        <x:v>Design logging that supports operations without unnecessarily exposing sensitive data.</x:v>
      </x:c>
      <x:c r="F50" s="41" t="n">
        <x:v>3</x:v>
      </x:c>
      <x:c r="G50" s="36" t="str">
        <x:v>Design a regulated-data monitoring policy.</x:v>
      </x:c>
      <x:c r="H50" s="36" t="str">
        <x:v>Security / Monitoring</x:v>
      </x:c>
      <x:c r="I50" s="36" t="str">
        <x:v>https://learn.microsoft.com/en-us/azure/data-factory/secure-your-azure-data-factory</x:v>
      </x:c>
      <x:c r="J50" s="36" t="str">
        <x:v>Core</x:v>
      </x:c>
    </x:row>
    <x:row r="51" ht="54" customHeight="1">
      <x:c r="A51" s="38" t="str">
        <x:v>10. CI/CD, IaC &amp; Reliability</x:v>
      </x:c>
      <x:c r="B51" s="38" t="n">
        <x:v>46</x:v>
      </x:c>
      <x:c r="C51" s="38" t="str">
        <x:v>Git Integration and Collaboration</x:v>
      </x:c>
      <x:c r="D51" s="38" t="str">
        <x:v>Understand source control, collaboration, pull requests and environment separation.</x:v>
      </x:c>
      <x:c r="E51" s="38" t="str">
        <x:v>Explain why Git is the source of truth without claiming it is a universal ADF product requirement.</x:v>
      </x:c>
      <x:c r="F51" s="40" t="n">
        <x:v>2</x:v>
      </x:c>
      <x:c r="G51" s="38" t="str">
        <x:v>Create an ADF branch/PR strategy.</x:v>
      </x:c>
      <x:c r="H51" s="38" t="str">
        <x:v>CI/CD</x:v>
      </x:c>
      <x:c r="I51" s="38" t="str">
        <x:v>https://learn.microsoft.com/en-us/azure/data-factory/continuous-integration-delivery-improvements</x:v>
      </x:c>
      <x:c r="J51" s="38" t="str">
        <x:v>Core</x:v>
      </x:c>
    </x:row>
    <x:row r="52" ht="54" customHeight="1">
      <x:c r="A52" s="36" t="str">
        <x:v>10. CI/CD, IaC &amp; Reliability</x:v>
      </x:c>
      <x:c r="B52" s="36" t="n">
        <x:v>47</x:v>
      </x:c>
      <x:c r="C52" s="36" t="str">
        <x:v>ARM Templates and Automated Publishing</x:v>
      </x:c>
      <x:c r="D52" s="36" t="str">
        <x:v>Understand `adf_publish`, automated validation/export and deployment artifacts.</x:v>
      </x:c>
      <x:c r="E52" s="36" t="str">
        <x:v>Explain both supported template-generation approaches and their operational trade-offs.</x:v>
      </x:c>
      <x:c r="F52" s="41" t="n">
        <x:v>3</x:v>
      </x:c>
      <x:c r="G52" s="36" t="str">
        <x:v>Design a Dev→Test→Prod deployment flow.</x:v>
      </x:c>
      <x:c r="H52" s="36" t="str">
        <x:v>CI/CD</x:v>
      </x:c>
      <x:c r="I52" s="36" t="str">
        <x:v>https://learn.microsoft.com/en-us/azure/data-factory/continuous-integration-delivery-improvements</x:v>
      </x:c>
      <x:c r="J52" s="36" t="str">
        <x:v>Core</x:v>
      </x:c>
    </x:row>
    <x:row r="53" ht="54" customHeight="1">
      <x:c r="A53" s="36" t="str">
        <x:v>10. CI/CD, IaC &amp; Reliability</x:v>
      </x:c>
      <x:c r="B53" s="36" t="n">
        <x:v>48</x:v>
      </x:c>
      <x:c r="C53" s="36" t="str">
        <x:v>Bicep and Infrastructure as Code</x:v>
      </x:c>
      <x:c r="D53" s="36" t="str">
        <x:v>Understand where Bicep complements ADF resource deployment and environment provisioning.</x:v>
      </x:c>
      <x:c r="E53" s="36" t="str">
        <x:v>Explain what belongs in infrastructure-as-code versus factory content deployment.</x:v>
      </x:c>
      <x:c r="F53" s="41" t="n">
        <x:v>2</x:v>
      </x:c>
      <x:c r="G53" s="36" t="str">
        <x:v>Draft an ADF environment provisioning outline in Bicep.</x:v>
      </x:c>
      <x:c r="H53" s="36" t="str">
        <x:v>IaC</x:v>
      </x:c>
      <x:c r="I53" s="36" t="str">
        <x:v>https://learn.microsoft.com/en-us/azure/data-factory/quickstart-create-data-factory-bicep</x:v>
      </x:c>
      <x:c r="J53" s="36" t="str">
        <x:v>Core</x:v>
      </x:c>
    </x:row>
    <x:row r="54" ht="54" customHeight="1">
      <x:c r="A54" s="36" t="str">
        <x:v>10. CI/CD, IaC &amp; Reliability</x:v>
      </x:c>
      <x:c r="B54" s="36" t="n">
        <x:v>49</x:v>
      </x:c>
      <x:c r="C54" s="36" t="str">
        <x:v>Deployment Parameters, Global Parameters and Trigger Handling</x:v>
      </x:c>
      <x:c r="D54" s="36" t="str">
        <x:v>Understand parameterisation across environments and the operational implications of active triggers.</x:v>
      </x:c>
      <x:c r="E54" s="36" t="str">
        <x:v>Build a release checklist that separates product changes from environment configuration.</x:v>
      </x:c>
      <x:c r="F54" s="41" t="n">
        <x:v>3</x:v>
      </x:c>
      <x:c r="G54" s="36" t="str">
        <x:v>Create a deployment readiness checklist.</x:v>
      </x:c>
      <x:c r="H54" s="36" t="str">
        <x:v>CI/CD</x:v>
      </x:c>
      <x:c r="I54" s="36" t="str">
        <x:v>https://learn.microsoft.com/en-us/azure/data-factory/continuous-integration-delivery-sample-script</x:v>
      </x:c>
      <x:c r="J54" s="36" t="str">
        <x:v>Core</x:v>
      </x:c>
    </x:row>
    <x:row r="55" ht="54" customHeight="1">
      <x:c r="A55" s="36" t="str">
        <x:v>10. CI/CD, IaC &amp; Reliability</x:v>
      </x:c>
      <x:c r="B55" s="36" t="n">
        <x:v>50</x:v>
      </x:c>
      <x:c r="C55" s="36" t="str">
        <x:v>Reliability, Idempotency and Recovery</x:v>
      </x:c>
      <x:c r="D55" s="36" t="str">
        <x:v>Understand transient failures, retries, duplicate risk, reruns and regional/zone recovery concepts.</x:v>
      </x:c>
      <x:c r="E55" s="36" t="str">
        <x:v>Design reruns that are safe and explain reliability as a shared responsibility.</x:v>
      </x:c>
      <x:c r="F55" s="41" t="n">
        <x:v>4</x:v>
      </x:c>
      <x:c r="G55" s="36" t="str">
        <x:v>Write an incident-recovery runbook for a failed nightly load.</x:v>
      </x:c>
      <x:c r="H55" s="36" t="str">
        <x:v>Reliability</x:v>
      </x:c>
      <x:c r="I55" s="36" t="str">
        <x:v>https://learn.microsoft.com/en-us/azure/reliability/reliability-data-factory</x:v>
      </x:c>
      <x:c r="J55" s="36" t="str">
        <x:v>Core</x:v>
      </x:c>
    </x:row>
    <x:row r="56" ht="54" customHeight="1">
      <x:c r="A56" s="38" t="str">
        <x:v>11. Performance, Cost &amp; Architecture</x:v>
      </x:c>
      <x:c r="B56" s="38" t="n">
        <x:v>51</x:v>
      </x:c>
      <x:c r="C56" s="38" t="str">
        <x:v>Copy Performance: DIUs, Parallel Copies and Bottlenecks</x:v>
      </x:c>
      <x:c r="D56" s="38" t="str">
        <x:v>Understand DIUs, parallel copies, queueing, source latency and sink throttling.</x:v>
      </x:c>
      <x:c r="E56" s="38" t="str">
        <x:v>Diagnose the slowest stage before scaling compute and articulate the cost/speed trade-off.</x:v>
      </x:c>
      <x:c r="F56" s="40" t="n">
        <x:v>4</x:v>
      </x:c>
      <x:c r="G56" s="38" t="str">
        <x:v>Create a Copy performance diagnosis decision tree.</x:v>
      </x:c>
      <x:c r="H56" s="38" t="str">
        <x:v>Performance</x:v>
      </x:c>
      <x:c r="I56" s="38" t="str">
        <x:v>https://learn.microsoft.com/en-us/azure/data-factory/copy-activity-performance-features</x:v>
      </x:c>
      <x:c r="J56" s="38" t="str">
        <x:v>Core</x:v>
      </x:c>
    </x:row>
    <x:row r="57" ht="54" customHeight="1">
      <x:c r="A57" s="36" t="str">
        <x:v>11. Performance, Cost &amp; Architecture</x:v>
      </x:c>
      <x:c r="B57" s="36" t="n">
        <x:v>52</x:v>
      </x:c>
      <x:c r="C57" s="36" t="str">
        <x:v>ADF Cost Model and FinOps</x:v>
      </x:c>
      <x:c r="D57" s="36" t="str">
        <x:v>Understand orchestration runs, DIU-hours, vCore-hours, SSIS and other operation costs.</x:v>
      </x:c>
      <x:c r="E57" s="36" t="str">
        <x:v>Estimate cost from workload behavior and identify levers that reduce spend without breaking SLA.</x:v>
      </x:c>
      <x:c r="F57" s="41" t="n">
        <x:v>3</x:v>
      </x:c>
      <x:c r="G57" s="36" t="str">
        <x:v>Build a simple ADF cost-driver model.</x:v>
      </x:c>
      <x:c r="H57" s="36" t="str">
        <x:v>Cost</x:v>
      </x:c>
      <x:c r="I57" s="36" t="str">
        <x:v>https://learn.microsoft.com/en-us/azure/data-factory/plan-manage-costs</x:v>
      </x:c>
      <x:c r="J57" s="36" t="str">
        <x:v>Core</x:v>
      </x:c>
    </x:row>
    <x:row r="58" ht="54" customHeight="1">
      <x:c r="A58" s="36" t="str">
        <x:v>11. Performance, Cost &amp; Architecture</x:v>
      </x:c>
      <x:c r="B58" s="36" t="n">
        <x:v>53</x:v>
      </x:c>
      <x:c r="C58" s="36" t="str">
        <x:v>Scale and Concurrency Trade-offs</x:v>
      </x:c>
      <x:c r="D58" s="36" t="str">
        <x:v>Understand pipeline concurrency, ForEach concurrency, source pressure and destination limits.</x:v>
      </x:c>
      <x:c r="E58" s="36" t="str">
        <x:v>Balance throughput, recovery, fairness and source-system safety.</x:v>
      </x:c>
      <x:c r="F58" s="41" t="n">
        <x:v>3</x:v>
      </x:c>
      <x:c r="G58" s="36" t="str">
        <x:v>Design a concurrency budget for a multi-source platform.</x:v>
      </x:c>
      <x:c r="H58" s="36" t="str">
        <x:v>Performance / Control Flow</x:v>
      </x:c>
      <x:c r="I58" s="36" t="str">
        <x:v>https://learn.microsoft.com/en-us/azure/data-factory/concepts-pipelines-activities</x:v>
      </x:c>
      <x:c r="J58" s="36" t="str">
        <x:v>Core</x:v>
      </x:c>
    </x:row>
    <x:row r="59" ht="54" customHeight="1">
      <x:c r="A59" s="36" t="str">
        <x:v>11. Performance, Cost &amp; Architecture</x:v>
      </x:c>
      <x:c r="B59" s="36" t="n">
        <x:v>54</x:v>
      </x:c>
      <x:c r="C59" s="36" t="str">
        <x:v>Architecture Trade-offs: ADF vs Databricks vs Synapse</x:v>
      </x:c>
      <x:c r="D59" s="36" t="str">
        <x:v>Reason about orchestration vs transformation vs SQL analytics and platform ownership.</x:v>
      </x:c>
      <x:c r="E59" s="36" t="str">
        <x:v>Defend architecture choices with performance, cost, operational and team-skill trade-offs.</x:v>
      </x:c>
      <x:c r="F59" s="41" t="n">
        <x:v>3</x:v>
      </x:c>
      <x:c r="G59" s="36" t="str">
        <x:v>Present an architecture choice for a lakehouse ingestion platform.</x:v>
      </x:c>
      <x:c r="H59" s="36" t="str">
        <x:v>Architecture</x:v>
      </x:c>
      <x:c r="I59" s="36" t="str">
        <x:v>https://learn.microsoft.com/en-us/azure/architecture/</x:v>
      </x:c>
      <x:c r="J59" s="36" t="str">
        <x:v>Core</x:v>
      </x:c>
    </x:row>
    <x:row r="60" ht="54" customHeight="1">
      <x:c r="A60" s="38" t="str">
        <x:v>12. Platform Integration &amp; Interview Readiness</x:v>
      </x:c>
      <x:c r="B60" s="38" t="n">
        <x:v>55</x:v>
      </x:c>
      <x:c r="C60" s="38" t="str">
        <x:v>ADF + Azure Databricks</x:v>
      </x:c>
      <x:c r="D60" s="38" t="str">
        <x:v>Understand notebook activity, parameter passing, outputs, orchestration boundaries and failure handling.</x:v>
      </x:c>
      <x:c r="E60" s="38" t="str">
        <x:v>Explain where ADF stops and Databricks starts in a production data platform.</x:v>
      </x:c>
      <x:c r="F60" s="40" t="n">
        <x:v>3</x:v>
      </x:c>
      <x:c r="G60" s="38" t="str">
        <x:v>Design an ADF→Databricks→validation workflow.</x:v>
      </x:c>
      <x:c r="H60" s="38" t="str">
        <x:v>Databricks</x:v>
      </x:c>
      <x:c r="I60" s="38" t="str">
        <x:v>https://learn.microsoft.com/en-us/azure/data-factory/transform-data-databricks-notebook</x:v>
      </x:c>
      <x:c r="J60" s="38" t="str">
        <x:v>Core</x:v>
      </x:c>
    </x:row>
    <x:row r="61" ht="54" customHeight="1">
      <x:c r="A61" s="36" t="str">
        <x:v>12. Platform Integration &amp; Interview Readiness</x:v>
      </x:c>
      <x:c r="B61" s="36" t="n">
        <x:v>56</x:v>
      </x:c>
      <x:c r="C61" s="36" t="str">
        <x:v>ADF + Azure Synapse</x:v>
      </x:c>
      <x:c r="D61" s="36" t="str">
        <x:v>Understand common orchestration patterns, notebook/SQL integration and sink choices.</x:v>
      </x:c>
      <x:c r="E61" s="36" t="str">
        <x:v>Explain when Synapse-native capabilities change the ADF architecture.</x:v>
      </x:c>
      <x:c r="F61" s="41" t="n">
        <x:v>2</x:v>
      </x:c>
      <x:c r="G61" s="36" t="str">
        <x:v>Design an ADF + Synapse batch architecture.</x:v>
      </x:c>
      <x:c r="H61" s="36" t="str">
        <x:v>Synapse Integration</x:v>
      </x:c>
      <x:c r="I61" s="36" t="str">
        <x:v>https://learn.microsoft.com/en-us/azure/data-factory/transform-data-synapse-notebook</x:v>
      </x:c>
      <x:c r="J61" s="36" t="str">
        <x:v>Core</x:v>
      </x:c>
    </x:row>
    <x:row r="62" ht="54" customHeight="1">
      <x:c r="A62" s="36" t="str">
        <x:v>12. Platform Integration &amp; Interview Readiness</x:v>
      </x:c>
      <x:c r="B62" s="36" t="n">
        <x:v>57</x:v>
      </x:c>
      <x:c r="C62" s="36" t="str">
        <x:v>ADF vs Fabric Data Factory in 2026</x:v>
      </x:c>
      <x:c r="D62" s="36" t="str">
        <x:v>Understand Microsoft's current Fabric positioning, migration considerations and capability differences.</x:v>
      </x:c>
      <x:c r="E62" s="36" t="str">
        <x:v>Answer 'Would you build new pipelines in ADF or Fabric?' with current, nuanced reasoning.</x:v>
      </x:c>
      <x:c r="F62" s="41" t="n">
        <x:v>3</x:v>
      </x:c>
      <x:c r="G62" s="36" t="str">
        <x:v>Prepare a 3-minute ADF vs Fabric executive answer.</x:v>
      </x:c>
      <x:c r="H62" s="36" t="str">
        <x:v>Fabric</x:v>
      </x:c>
      <x:c r="I62" s="36" t="str">
        <x:v>https://learn.microsoft.com/en-us/fabric/data-factory/compare-fabric-data-factory-and-azure-data-factory</x:v>
      </x:c>
      <x:c r="J62" s="36" t="str">
        <x:v>Core</x:v>
      </x:c>
    </x:row>
    <x:row r="63" ht="54" customHeight="1">
      <x:c r="A63" s="36" t="str">
        <x:v>12. Platform Integration &amp; Interview Readiness</x:v>
      </x:c>
      <x:c r="B63" s="36" t="n">
        <x:v>58</x:v>
      </x:c>
      <x:c r="C63" s="36" t="str">
        <x:v>Enterprise Migration Architecture</x:v>
      </x:c>
      <x:c r="D63" s="36" t="str">
        <x:v>Combine connectivity, control tables, incremental loads, reconciliation, security, CI/CD, monitoring and cutover.</x:v>
      </x:c>
      <x:c r="E63" s="36" t="str">
        <x:v>Design a migration plan that an EM/Program Manager can challenge on risk, ownership, throughput and recovery.</x:v>
      </x:c>
      <x:c r="F63" s="41" t="n">
        <x:v>6</x:v>
      </x:c>
      <x:c r="G63" s="36" t="str">
        <x:v>Complete an end-to-end 100–500 table Azure migration architecture case.</x:v>
      </x:c>
      <x:c r="H63" s="36" t="str">
        <x:v>Migration</x:v>
      </x:c>
      <x:c r="I63" s="36" t="str">
        <x:v>https://learn.microsoft.com/en-us/azure/data-factory/data-migration-guidance-overview</x:v>
      </x:c>
      <x:c r="J63" s="36" t="str">
        <x:v>Core</x:v>
      </x:c>
    </x:row>
    <x:row r="64" ht="54" customHeight="1">
      <x:c r="A64" s="36" t="str">
        <x:v>12. Platform Integration &amp; Interview Readiness</x:v>
      </x:c>
      <x:c r="B64" s="36" t="n">
        <x:v>59</x:v>
      </x:c>
      <x:c r="C64" s="36" t="str">
        <x:v>ADF Interview Scenario Drills</x:v>
      </x:c>
      <x:c r="D64" s="36" t="str">
        <x:v>Practice failure, cost, security, migration, reliability and architecture scenarios using the course's scenarios.</x:v>
      </x:c>
      <x:c r="E64" s="36" t="str">
        <x:v>Answer with facts, trade-offs, assumptions, operational consequences and measurable acceptance criteria.</x:v>
      </x:c>
      <x:c r="F64" s="41" t="n">
        <x:v>6</x:v>
      </x:c>
      <x:c r="G64" s="36" t="str">
        <x:v>Record or write answers to 10 ADF interview scenarios.</x:v>
      </x:c>
      <x:c r="H64" s="36" t="str">
        <x:v>Scenarios</x:v>
      </x:c>
      <x:c r="I64" s="36" t="str">
        <x:v>https://learn.microsoft.com/en-us/azure/data-factory/</x:v>
      </x:c>
      <x:c r="J64" s="36" t="str">
        <x:v>Core</x:v>
      </x:c>
    </x:row>
    <x:row r="65" ht="54" customHeight="1">
      <x:c r="A65" s="36" t="str">
        <x:v>12. Platform Integration &amp; Interview Readiness</x:v>
      </x:c>
      <x:c r="B65" s="36" t="n">
        <x:v>60</x:v>
      </x:c>
      <x:c r="C65" s="36" t="str">
        <x:v>ADF Architecture Review Capstone</x:v>
      </x:c>
      <x:c r="D65" s="36" t="str">
        <x:v>Conduct a structured review of an ADF design from user requirement through production operations.</x:v>
      </x:c>
      <x:c r="E65" s="36" t="str">
        <x:v>Defend architecture, security, networking, recovery, cost and delivery decisions under interview pressure.</x:v>
      </x:c>
      <x:c r="F65" s="41" t="n">
        <x:v>8</x:v>
      </x:c>
      <x:c r="G65" s="36" t="str">
        <x:v>Produce an architecture-review document plus 2-minute executive summary.</x:v>
      </x:c>
      <x:c r="H65" s="36" t="str">
        <x:v>Capstone</x:v>
      </x:c>
      <x:c r="I65" s="36" t="str">
        <x:v>https://learn.microsoft.com/en-us/azure/data-factory/</x:v>
      </x:c>
      <x:c r="J65" s="36" t="str">
        <x:v>Core</x:v>
      </x:c>
    </x:row>
  </x:sheetData>
  <x:mergeCells>
    <x:mergeCell ref="A1:J1"/>
    <x:mergeCell ref="A2:J2"/>
    <x:mergeCell ref="A3:J3"/>
    <x:mergeCell ref="L1:O1"/>
    <x:mergeCell ref="L7:O7"/>
    <x:mergeCell ref="L8:O12"/>
    <x:mergeCell ref="L14:O14"/>
    <x:mergeCell ref="L15:O20"/>
  </x:mergeCells>
  <x:pageMargins left="0.7" right="0.7" top="0.75" bottom="0.75" header="0.3" footer="0.3"/>
  <x:tableParts count="1">
    <x:tablePart xmlns:r="http://schemas.openxmlformats.org/officeDocument/2006/relationships" r:id="R28776a30c0984f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10" max="10" width="28" hidden="0" customWidth="1"/>
    <x:col min="11" max="11" width="10" hidden="0" customWidth="1"/>
    <x:col min="12" max="12" width="12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ADF Learning Journey — Progress Tracker</x:v>
      </x:c>
      <x:c r="B1" s="5"/>
      <x:c r="C1" s="5"/>
      <x:c r="D1" s="5"/>
      <x:c r="E1" s="5"/>
      <x:c r="F1" s="5"/>
      <x:c r="G1" s="5"/>
      <x:c r="H1" s="5"/>
      <x:c r="J1" s="48" t="str">
        <x:v>Phase Progress Snapshot</x:v>
      </x:c>
      <x:c r="K1" s="48"/>
      <x:c r="L1" s="48"/>
      <x:c r="M1" s="48"/>
      <x:c r="N1" s="48"/>
    </x:row>
    <x:row r="2" ht="22" customHeight="1">
      <x:c r="A2" s="29" t="str">
        <x:v>Total Topics</x:v>
      </x:c>
      <x:c r="B2" s="29" t="str">
        <x:v>Completed</x:v>
      </x:c>
      <x:c r="C2" s="29" t="str">
        <x:v>In Progress</x:v>
      </x:c>
      <x:c r="D2" s="29" t="str">
        <x:v>Not Started</x:v>
      </x:c>
      <x:c r="E2" s="29" t="str">
        <x:v>% Complete</x:v>
      </x:c>
      <x:c r="F2" s="29" t="str">
        <x:v>Hours Done</x:v>
      </x:c>
      <x:c r="G2" s="29" t="str">
        <x:v>Total Hours</x:v>
      </x:c>
      <x:c r="H2" s="29" t="str">
        <x:v>Current Focus</x:v>
      </x:c>
      <x:c r="J2" s="29" t="str">
        <x:v>Phase</x:v>
      </x:c>
      <x:c r="K2" s="29" t="str">
        <x:v>Topics</x:v>
      </x:c>
      <x:c r="L2" s="29" t="str">
        <x:v>Completed</x:v>
      </x:c>
      <x:c r="M2" s="29" t="str">
        <x:v>In Progress</x:v>
      </x:c>
      <x:c r="N2" s="29" t="str">
        <x:v>Avg Progress</x:v>
      </x:c>
    </x:row>
    <x:row r="3" ht="22" customHeight="1">
      <x:c r="A3" s="75" t="n">
        <x:f>COUNTA(B6:B65)</x:f>
        <x:v>60</x:v>
      </x:c>
      <x:c r="B3" s="75" t="n">
        <x:f>COUNTIF(D6:D65,"Completed")</x:f>
        <x:v>0</x:v>
      </x:c>
      <x:c r="C3" s="75" t="n">
        <x:f>COUNTIF(D6:D65,"In Progress")</x:f>
        <x:v>0</x:v>
      </x:c>
      <x:c r="D3" s="75" t="n">
        <x:f>COUNTIF(D6:D65,"Not Started")</x:f>
        <x:v>60</x:v>
      </x:c>
      <x:c r="E3" s="78" t="n">
        <x:f>IFERROR(AVERAGE(E6:E65),0)</x:f>
        <x:v>0</x:v>
      </x:c>
      <x:c r="F3" s="75" t="n">
        <x:f>SUMIF(D6:D65,"Completed",F6:F65)</x:f>
        <x:v>0</x:v>
      </x:c>
      <x:c r="G3" s="75" t="n">
        <x:f>SUM(F6:F65)</x:f>
        <x:v>176</x:v>
      </x:c>
      <x:c r="H3" s="75" t="str">
        <x:f>IFERROR(INDEX(C6:C65,MATCH("In Progress",D6:D65,0)),"Start with Topic 1")</x:f>
        <x:v>Start with Topic 1</x:v>
      </x:c>
      <x:c r="J3" s="34" t="str">
        <x:v>1. ADF Foundations</x:v>
      </x:c>
      <x:c r="K3" s="34" t="n">
        <x:f>COUNTIF($C$6:$C$65,J3)</x:f>
        <x:v>4</x:v>
      </x:c>
      <x:c r="L3" s="34" t="n">
        <x:f>COUNTIFS($C$6:$C$65,J3,$D$6:$D$65,"Completed")</x:f>
        <x:v>0</x:v>
      </x:c>
      <x:c r="M3" s="34" t="n">
        <x:f>COUNTIFS($C$6:$C$65,J3,$D$6:$D$65,"In Progress")</x:f>
        <x:v>0</x:v>
      </x:c>
      <x:c r="N3" s="84" t="n">
        <x:f>IFERROR(AVERAGEIF($C$6:$C$65,J3,$E$6:$E$65),0)</x:f>
        <x:v>0</x:v>
      </x:c>
    </x:row>
    <x:row r="4" ht="22" customHeight="1">
      <x:c r="J4" s="34" t="str">
        <x:v>2. Core ADF Construction</x:v>
      </x:c>
      <x:c r="K4" s="34" t="n">
        <x:f>COUNTIF($C$6:$C$65,J4)</x:f>
        <x:v>5</x:v>
      </x:c>
      <x:c r="L4" s="34" t="n">
        <x:f>COUNTIFS($C$6:$C$65,J4,$D$6:$D$65,"Completed")</x:f>
        <x:v>0</x:v>
      </x:c>
      <x:c r="M4" s="34" t="n">
        <x:f>COUNTIFS($C$6:$C$65,J4,$D$6:$D$65,"In Progress")</x:f>
        <x:v>0</x:v>
      </x:c>
      <x:c r="N4" s="84" t="n">
        <x:f>IFERROR(AVERAGEIF($C$6:$C$65,J4,$E$6:$E$65),0)</x:f>
        <x:v>0</x:v>
      </x:c>
    </x:row>
    <x:row r="5" ht="26" customHeight="1">
      <x:c r="A5" s="29" t="str">
        <x:v>#</x:v>
      </x:c>
      <x:c r="B5" s="29" t="str">
        <x:v>Topic</x:v>
      </x:c>
      <x:c r="C5" s="29" t="str">
        <x:v>Phase</x:v>
      </x:c>
      <x:c r="D5" s="29" t="str">
        <x:v>Status</x:v>
      </x:c>
      <x:c r="E5" s="29" t="str">
        <x:v>Progress %</x:v>
      </x:c>
      <x:c r="F5" s="29" t="str">
        <x:v>Est. Hours</x:v>
      </x:c>
      <x:c r="G5" s="29" t="str">
        <x:v>Start Date</x:v>
      </x:c>
      <x:c r="H5" s="29" t="str">
        <x:v>Completion Date</x:v>
      </x:c>
      <x:c r="J5" s="34" t="str">
        <x:v>3. Control Flow &amp; Orchestration</x:v>
      </x:c>
      <x:c r="K5" s="34" t="n">
        <x:f>COUNTIF($C$6:$C$65,J5)</x:f>
        <x:v>6</x:v>
      </x:c>
      <x:c r="L5" s="34" t="n">
        <x:f>COUNTIFS($C$6:$C$65,J5,$D$6:$D$65,"Completed")</x:f>
        <x:v>0</x:v>
      </x:c>
      <x:c r="M5" s="34" t="n">
        <x:f>COUNTIFS($C$6:$C$65,J5,$D$6:$D$65,"In Progress")</x:f>
        <x:v>0</x:v>
      </x:c>
      <x:c r="N5" s="84" t="n">
        <x:f>IFERROR(AVERAGEIF($C$6:$C$65,J5,$E$6:$E$65),0)</x:f>
        <x:v>0</x:v>
      </x:c>
    </x:row>
    <x:row r="6" ht="30" customHeight="1">
      <x:c r="A6" s="36" t="n">
        <x:v>1</x:v>
      </x:c>
      <x:c r="B6" s="36" t="str">
        <x:v>What Azure Data Factory Is</x:v>
      </x:c>
      <x:c r="C6" s="36" t="str">
        <x:v>1. ADF Foundations</x:v>
      </x:c>
      <x:c r="D6" s="36" t="str">
        <x:v>Not Started</x:v>
      </x:c>
      <x:c r="E6" s="80" t="n">
        <x:v>0</x:v>
      </x:c>
      <x:c r="F6" s="36" t="n">
        <x:v>2</x:v>
      </x:c>
      <x:c r="G6" s="36"/>
      <x:c r="H6" s="36"/>
      <x:c r="J6" s="34" t="str">
        <x:v>4. Triggers &amp; Time</x:v>
      </x:c>
      <x:c r="K6" s="34" t="n">
        <x:f>COUNTIF($C$6:$C$65,J6)</x:f>
        <x:v>4</x:v>
      </x:c>
      <x:c r="L6" s="34" t="n">
        <x:f>COUNTIFS($C$6:$C$65,J6,$D$6:$D$65,"Completed")</x:f>
        <x:v>0</x:v>
      </x:c>
      <x:c r="M6" s="34" t="n">
        <x:f>COUNTIFS($C$6:$C$65,J6,$D$6:$D$65,"In Progress")</x:f>
        <x:v>0</x:v>
      </x:c>
      <x:c r="N6" s="84" t="n">
        <x:f>IFERROR(AVERAGEIF($C$6:$C$65,J6,$E$6:$E$65),0)</x:f>
        <x:v>0</x:v>
      </x:c>
    </x:row>
    <x:row r="7" ht="30" customHeight="1">
      <x:c r="A7" s="36" t="n">
        <x:v>2</x:v>
      </x:c>
      <x:c r="B7" s="36" t="str">
        <x:v>ADF vs Databricks vs Synapse vs Fabric Data Factory</x:v>
      </x:c>
      <x:c r="C7" s="36" t="str">
        <x:v>1. ADF Foundations</x:v>
      </x:c>
      <x:c r="D7" s="36" t="str">
        <x:v>Not Started</x:v>
      </x:c>
      <x:c r="E7" s="80" t="n">
        <x:v>0</x:v>
      </x:c>
      <x:c r="F7" s="36" t="n">
        <x:v>2</x:v>
      </x:c>
      <x:c r="G7" s="36"/>
      <x:c r="H7" s="36"/>
      <x:c r="J7" s="34" t="str">
        <x:v>5. Integration Runtime &amp; Networking</x:v>
      </x:c>
      <x:c r="K7" s="34" t="n">
        <x:f>COUNTIF($C$6:$C$65,J7)</x:f>
        <x:v>5</x:v>
      </x:c>
      <x:c r="L7" s="34" t="n">
        <x:f>COUNTIFS($C$6:$C$65,J7,$D$6:$D$65,"Completed")</x:f>
        <x:v>0</x:v>
      </x:c>
      <x:c r="M7" s="34" t="n">
        <x:f>COUNTIFS($C$6:$C$65,J7,$D$6:$D$65,"In Progress")</x:f>
        <x:v>0</x:v>
      </x:c>
      <x:c r="N7" s="84" t="n">
        <x:f>IFERROR(AVERAGEIF($C$6:$C$65,J7,$E$6:$E$65),0)</x:f>
        <x:v>0</x:v>
      </x:c>
    </x:row>
    <x:row r="8" ht="30" customHeight="1">
      <x:c r="A8" s="36" t="n">
        <x:v>3</x:v>
      </x:c>
      <x:c r="B8" s="36" t="str">
        <x:v>ADF Resource Model</x:v>
      </x:c>
      <x:c r="C8" s="36" t="str">
        <x:v>1. ADF Foundations</x:v>
      </x:c>
      <x:c r="D8" s="36" t="str">
        <x:v>Not Started</x:v>
      </x:c>
      <x:c r="E8" s="80" t="n">
        <x:v>0</x:v>
      </x:c>
      <x:c r="F8" s="36" t="n">
        <x:v>2</x:v>
      </x:c>
      <x:c r="G8" s="36"/>
      <x:c r="H8" s="36"/>
      <x:c r="J8" s="34" t="str">
        <x:v>6. Copy &amp; Data Movement</x:v>
      </x:c>
      <x:c r="K8" s="34" t="n">
        <x:f>COUNTIF($C$6:$C$65,J8)</x:f>
        <x:v>6</x:v>
      </x:c>
      <x:c r="L8" s="34" t="n">
        <x:f>COUNTIFS($C$6:$C$65,J8,$D$6:$D$65,"Completed")</x:f>
        <x:v>0</x:v>
      </x:c>
      <x:c r="M8" s="34" t="n">
        <x:f>COUNTIFS($C$6:$C$65,J8,$D$6:$D$65,"In Progress")</x:f>
        <x:v>0</x:v>
      </x:c>
      <x:c r="N8" s="84" t="n">
        <x:f>IFERROR(AVERAGEIF($C$6:$C$65,J8,$E$6:$E$65),0)</x:f>
        <x:v>0</x:v>
      </x:c>
    </x:row>
    <x:row r="9" ht="30" customHeight="1">
      <x:c r="A9" s="36" t="n">
        <x:v>4</x:v>
      </x:c>
      <x:c r="B9" s="36" t="str">
        <x:v>ADF Mental Model for Managers</x:v>
      </x:c>
      <x:c r="C9" s="36" t="str">
        <x:v>1. ADF Foundations</x:v>
      </x:c>
      <x:c r="D9" s="36" t="str">
        <x:v>Not Started</x:v>
      </x:c>
      <x:c r="E9" s="80" t="n">
        <x:v>0</x:v>
      </x:c>
      <x:c r="F9" s="36" t="n">
        <x:v>2</x:v>
      </x:c>
      <x:c r="G9" s="36"/>
      <x:c r="H9" s="36"/>
      <x:c r="J9" s="34" t="str">
        <x:v>7. Incremental Loading &amp; Metadata</x:v>
      </x:c>
      <x:c r="K9" s="34" t="n">
        <x:f>COUNTIF($C$6:$C$65,J9)</x:f>
        <x:v>5</x:v>
      </x:c>
      <x:c r="L9" s="34" t="n">
        <x:f>COUNTIFS($C$6:$C$65,J9,$D$6:$D$65,"Completed")</x:f>
        <x:v>0</x:v>
      </x:c>
      <x:c r="M9" s="34" t="n">
        <x:f>COUNTIFS($C$6:$C$65,J9,$D$6:$D$65,"In Progress")</x:f>
        <x:v>0</x:v>
      </x:c>
      <x:c r="N9" s="84" t="n">
        <x:f>IFERROR(AVERAGEIF($C$6:$C$65,J9,$E$6:$E$65),0)</x:f>
        <x:v>0</x:v>
      </x:c>
    </x:row>
    <x:row r="10" ht="30" customHeight="1">
      <x:c r="A10" s="36" t="n">
        <x:v>5</x:v>
      </x:c>
      <x:c r="B10" s="36" t="str">
        <x:v>Linked Services</x:v>
      </x:c>
      <x:c r="C10" s="36" t="str">
        <x:v>2. Core ADF Construction</x:v>
      </x:c>
      <x:c r="D10" s="36" t="str">
        <x:v>Not Started</x:v>
      </x:c>
      <x:c r="E10" s="80" t="n">
        <x:v>0</x:v>
      </x:c>
      <x:c r="F10" s="36" t="n">
        <x:v>2</x:v>
      </x:c>
      <x:c r="G10" s="36"/>
      <x:c r="H10" s="36"/>
      <x:c r="J10" s="34" t="str">
        <x:v>8. Data Flows &amp; Reconciliation</x:v>
      </x:c>
      <x:c r="K10" s="34" t="n">
        <x:f>COUNTIF($C$6:$C$65,J10)</x:f>
        <x:v>5</x:v>
      </x:c>
      <x:c r="L10" s="34" t="n">
        <x:f>COUNTIFS($C$6:$C$65,J10,$D$6:$D$65,"Completed")</x:f>
        <x:v>0</x:v>
      </x:c>
      <x:c r="M10" s="34" t="n">
        <x:f>COUNTIFS($C$6:$C$65,J10,$D$6:$D$65,"In Progress")</x:f>
        <x:v>0</x:v>
      </x:c>
      <x:c r="N10" s="84" t="n">
        <x:f>IFERROR(AVERAGEIF($C$6:$C$65,J10,$E$6:$E$65),0)</x:f>
        <x:v>0</x:v>
      </x:c>
    </x:row>
    <x:row r="11" ht="30" customHeight="1">
      <x:c r="A11" s="36" t="n">
        <x:v>6</x:v>
      </x:c>
      <x:c r="B11" s="36" t="str">
        <x:v>Datasets and Parameterisation</x:v>
      </x:c>
      <x:c r="C11" s="36" t="str">
        <x:v>2. Core ADF Construction</x:v>
      </x:c>
      <x:c r="D11" s="36" t="str">
        <x:v>Not Started</x:v>
      </x:c>
      <x:c r="E11" s="80" t="n">
        <x:v>0</x:v>
      </x:c>
      <x:c r="F11" s="36" t="n">
        <x:v>3</x:v>
      </x:c>
      <x:c r="G11" s="36"/>
      <x:c r="H11" s="36"/>
      <x:c r="J11" s="34" t="str">
        <x:v>9. Security, Governance &amp; Monitoring</x:v>
      </x:c>
      <x:c r="K11" s="34" t="n">
        <x:f>COUNTIF($C$6:$C$65,J11)</x:f>
        <x:v>5</x:v>
      </x:c>
      <x:c r="L11" s="34" t="n">
        <x:f>COUNTIFS($C$6:$C$65,J11,$D$6:$D$65,"Completed")</x:f>
        <x:v>0</x:v>
      </x:c>
      <x:c r="M11" s="34" t="n">
        <x:f>COUNTIFS($C$6:$C$65,J11,$D$6:$D$65,"In Progress")</x:f>
        <x:v>0</x:v>
      </x:c>
      <x:c r="N11" s="84" t="n">
        <x:f>IFERROR(AVERAGEIF($C$6:$C$65,J11,$E$6:$E$65),0)</x:f>
        <x:v>0</x:v>
      </x:c>
    </x:row>
    <x:row r="12" ht="30" customHeight="1">
      <x:c r="A12" s="36" t="n">
        <x:v>7</x:v>
      </x:c>
      <x:c r="B12" s="36" t="str">
        <x:v>Pipeline Parameters, Variables and Expressions</x:v>
      </x:c>
      <x:c r="C12" s="36" t="str">
        <x:v>2. Core ADF Construction</x:v>
      </x:c>
      <x:c r="D12" s="36" t="str">
        <x:v>Not Started</x:v>
      </x:c>
      <x:c r="E12" s="80" t="n">
        <x:v>0</x:v>
      </x:c>
      <x:c r="F12" s="36" t="n">
        <x:v>3</x:v>
      </x:c>
      <x:c r="G12" s="36"/>
      <x:c r="H12" s="36"/>
      <x:c r="J12" s="34" t="str">
        <x:v>10. CI/CD, IaC &amp; Reliability</x:v>
      </x:c>
      <x:c r="K12" s="34" t="n">
        <x:f>COUNTIF($C$6:$C$65,J12)</x:f>
        <x:v>5</x:v>
      </x:c>
      <x:c r="L12" s="34" t="n">
        <x:f>COUNTIFS($C$6:$C$65,J12,$D$6:$D$65,"Completed")</x:f>
        <x:v>0</x:v>
      </x:c>
      <x:c r="M12" s="34" t="n">
        <x:f>COUNTIFS($C$6:$C$65,J12,$D$6:$D$65,"In Progress")</x:f>
        <x:v>0</x:v>
      </x:c>
      <x:c r="N12" s="84" t="n">
        <x:f>IFERROR(AVERAGEIF($C$6:$C$65,J12,$E$6:$E$65),0)</x:f>
        <x:v>0</x:v>
      </x:c>
    </x:row>
    <x:row r="13" ht="30" customHeight="1">
      <x:c r="A13" s="36" t="n">
        <x:v>8</x:v>
      </x:c>
      <x:c r="B13" s="36" t="str">
        <x:v>Global Parameters and Reusable Configuration</x:v>
      </x:c>
      <x:c r="C13" s="36" t="str">
        <x:v>2. Core ADF Construction</x:v>
      </x:c>
      <x:c r="D13" s="36" t="str">
        <x:v>Not Started</x:v>
      </x:c>
      <x:c r="E13" s="80" t="n">
        <x:v>0</x:v>
      </x:c>
      <x:c r="F13" s="36" t="n">
        <x:v>2</x:v>
      </x:c>
      <x:c r="G13" s="36"/>
      <x:c r="H13" s="36"/>
      <x:c r="J13" s="34" t="str">
        <x:v>11. Performance, Cost &amp; Architecture</x:v>
      </x:c>
      <x:c r="K13" s="34" t="n">
        <x:f>COUNTIF($C$6:$C$65,J13)</x:f>
        <x:v>4</x:v>
      </x:c>
      <x:c r="L13" s="34" t="n">
        <x:f>COUNTIFS($C$6:$C$65,J13,$D$6:$D$65,"Completed")</x:f>
        <x:v>0</x:v>
      </x:c>
      <x:c r="M13" s="34" t="n">
        <x:f>COUNTIFS($C$6:$C$65,J13,$D$6:$D$65,"In Progress")</x:f>
        <x:v>0</x:v>
      </x:c>
      <x:c r="N13" s="84" t="n">
        <x:f>IFERROR(AVERAGEIF($C$6:$C$65,J13,$E$6:$E$65),0)</x:f>
        <x:v>0</x:v>
      </x:c>
    </x:row>
    <x:row r="14" ht="30" customHeight="1">
      <x:c r="A14" s="36" t="n">
        <x:v>9</x:v>
      </x:c>
      <x:c r="B14" s="36" t="str">
        <x:v>Activity Types and Execution Semantics</x:v>
      </x:c>
      <x:c r="C14" s="36" t="str">
        <x:v>2. Core ADF Construction</x:v>
      </x:c>
      <x:c r="D14" s="36" t="str">
        <x:v>Not Started</x:v>
      </x:c>
      <x:c r="E14" s="80" t="n">
        <x:v>0</x:v>
      </x:c>
      <x:c r="F14" s="36" t="n">
        <x:v>2</x:v>
      </x:c>
      <x:c r="G14" s="36"/>
      <x:c r="H14" s="36"/>
      <x:c r="J14" s="34" t="str">
        <x:v>12. Platform Integration &amp; Interview Readiness</x:v>
      </x:c>
      <x:c r="K14" s="34" t="n">
        <x:f>COUNTIF($C$6:$C$65,J14)</x:f>
        <x:v>6</x:v>
      </x:c>
      <x:c r="L14" s="34" t="n">
        <x:f>COUNTIFS($C$6:$C$65,J14,$D$6:$D$65,"Completed")</x:f>
        <x:v>0</x:v>
      </x:c>
      <x:c r="M14" s="34" t="n">
        <x:f>COUNTIFS($C$6:$C$65,J14,$D$6:$D$65,"In Progress")</x:f>
        <x:v>0</x:v>
      </x:c>
      <x:c r="N14" s="84" t="n">
        <x:f>IFERROR(AVERAGEIF($C$6:$C$65,J14,$E$6:$E$65),0)</x:f>
        <x:v>0</x:v>
      </x:c>
    </x:row>
    <x:row r="15" ht="30" customHeight="1">
      <x:c r="A15" s="36" t="n">
        <x:v>10</x:v>
      </x:c>
      <x:c r="B15" s="36" t="str">
        <x:v>Dependencies: Success, Failure, Completion and Skip</x:v>
      </x:c>
      <x:c r="C15" s="36" t="str">
        <x:v>3. Control Flow &amp; Orchestration</x:v>
      </x:c>
      <x:c r="D15" s="36" t="str">
        <x:v>Not Started</x:v>
      </x:c>
      <x:c r="E15" s="80" t="n">
        <x:v>0</x:v>
      </x:c>
      <x:c r="F15" s="36" t="n">
        <x:v>3</x:v>
      </x:c>
      <x:c r="G15" s="36"/>
      <x:c r="H15" s="36"/>
    </x:row>
    <x:row r="16" ht="30" customHeight="1">
      <x:c r="A16" s="36" t="n">
        <x:v>11</x:v>
      </x:c>
      <x:c r="B16" s="36" t="str">
        <x:v>Lookup and Get Metadata</x:v>
      </x:c>
      <x:c r="C16" s="36" t="str">
        <x:v>3. Control Flow &amp; Orchestration</x:v>
      </x:c>
      <x:c r="D16" s="36" t="str">
        <x:v>Not Started</x:v>
      </x:c>
      <x:c r="E16" s="80" t="n">
        <x:v>0</x:v>
      </x:c>
      <x:c r="F16" s="36" t="n">
        <x:v>2</x:v>
      </x:c>
      <x:c r="G16" s="36"/>
      <x:c r="H16" s="36"/>
    </x:row>
    <x:row r="17" ht="30" customHeight="1">
      <x:c r="A17" s="36" t="n">
        <x:v>12</x:v>
      </x:c>
      <x:c r="B17" s="36" t="str">
        <x:v>ForEach, Batch Count and Parallelism</x:v>
      </x:c>
      <x:c r="C17" s="36" t="str">
        <x:v>3. Control Flow &amp; Orchestration</x:v>
      </x:c>
      <x:c r="D17" s="36" t="str">
        <x:v>Not Started</x:v>
      </x:c>
      <x:c r="E17" s="80" t="n">
        <x:v>0</x:v>
      </x:c>
      <x:c r="F17" s="36" t="n">
        <x:v>3</x:v>
      </x:c>
      <x:c r="G17" s="36"/>
      <x:c r="H17" s="36"/>
    </x:row>
    <x:row r="18" ht="30" customHeight="1">
      <x:c r="A18" s="36" t="n">
        <x:v>13</x:v>
      </x:c>
      <x:c r="B18" s="36" t="str">
        <x:v>If Condition, Switch, Until and Wait</x:v>
      </x:c>
      <x:c r="C18" s="36" t="str">
        <x:v>3. Control Flow &amp; Orchestration</x:v>
      </x:c>
      <x:c r="D18" s="36" t="str">
        <x:v>Not Started</x:v>
      </x:c>
      <x:c r="E18" s="80" t="n">
        <x:v>0</x:v>
      </x:c>
      <x:c r="F18" s="36" t="n">
        <x:v>2</x:v>
      </x:c>
      <x:c r="G18" s="36"/>
      <x:c r="H18" s="36"/>
    </x:row>
    <x:row r="19" ht="30" customHeight="1">
      <x:c r="A19" s="36" t="n">
        <x:v>14</x:v>
      </x:c>
      <x:c r="B19" s="36" t="str">
        <x:v>Execute Pipeline and Reusable Child Pipelines</x:v>
      </x:c>
      <x:c r="C19" s="36" t="str">
        <x:v>3. Control Flow &amp; Orchestration</x:v>
      </x:c>
      <x:c r="D19" s="36" t="str">
        <x:v>Not Started</x:v>
      </x:c>
      <x:c r="E19" s="80" t="n">
        <x:v>0</x:v>
      </x:c>
      <x:c r="F19" s="36" t="n">
        <x:v>2</x:v>
      </x:c>
      <x:c r="G19" s="36"/>
      <x:c r="H19" s="36"/>
    </x:row>
    <x:row r="20" ht="30" customHeight="1">
      <x:c r="A20" s="36" t="n">
        <x:v>15</x:v>
      </x:c>
      <x:c r="B20" s="36" t="str">
        <x:v>Web, Function, Script and Stored Procedure Integration</x:v>
      </x:c>
      <x:c r="C20" s="36" t="str">
        <x:v>3. Control Flow &amp; Orchestration</x:v>
      </x:c>
      <x:c r="D20" s="36" t="str">
        <x:v>Not Started</x:v>
      </x:c>
      <x:c r="E20" s="80" t="n">
        <x:v>0</x:v>
      </x:c>
      <x:c r="F20" s="36" t="n">
        <x:v>3</x:v>
      </x:c>
      <x:c r="G20" s="36"/>
      <x:c r="H20" s="36"/>
    </x:row>
    <x:row r="21" ht="30" customHeight="1">
      <x:c r="A21" s="36" t="n">
        <x:v>16</x:v>
      </x:c>
      <x:c r="B21" s="36" t="str">
        <x:v>Schedule Triggers</x:v>
      </x:c>
      <x:c r="C21" s="36" t="str">
        <x:v>4. Triggers &amp; Time</x:v>
      </x:c>
      <x:c r="D21" s="36" t="str">
        <x:v>Not Started</x:v>
      </x:c>
      <x:c r="E21" s="80" t="n">
        <x:v>0</x:v>
      </x:c>
      <x:c r="F21" s="36" t="n">
        <x:v>2</x:v>
      </x:c>
      <x:c r="G21" s="36"/>
      <x:c r="H21" s="36"/>
    </x:row>
    <x:row r="22" ht="30" customHeight="1">
      <x:c r="A22" s="36" t="n">
        <x:v>17</x:v>
      </x:c>
      <x:c r="B22" s="36" t="str">
        <x:v>Tumbling Window Triggers</x:v>
      </x:c>
      <x:c r="C22" s="36" t="str">
        <x:v>4. Triggers &amp; Time</x:v>
      </x:c>
      <x:c r="D22" s="36" t="str">
        <x:v>Not Started</x:v>
      </x:c>
      <x:c r="E22" s="80" t="n">
        <x:v>0</x:v>
      </x:c>
      <x:c r="F22" s="36" t="n">
        <x:v>3</x:v>
      </x:c>
      <x:c r="G22" s="36"/>
      <x:c r="H22" s="36"/>
    </x:row>
    <x:row r="23" ht="30" customHeight="1">
      <x:c r="A23" s="36" t="n">
        <x:v>18</x:v>
      </x:c>
      <x:c r="B23" s="36" t="str">
        <x:v>Event and Custom Event Triggers</x:v>
      </x:c>
      <x:c r="C23" s="36" t="str">
        <x:v>4. Triggers &amp; Time</x:v>
      </x:c>
      <x:c r="D23" s="36" t="str">
        <x:v>Not Started</x:v>
      </x:c>
      <x:c r="E23" s="80" t="n">
        <x:v>0</x:v>
      </x:c>
      <x:c r="F23" s="36" t="n">
        <x:v>2</x:v>
      </x:c>
      <x:c r="G23" s="36"/>
      <x:c r="H23" s="36"/>
    </x:row>
    <x:row r="24" ht="30" customHeight="1">
      <x:c r="A24" s="36" t="n">
        <x:v>19</x:v>
      </x:c>
      <x:c r="B24" s="36" t="str">
        <x:v>Time Zones and Window Semantics</x:v>
      </x:c>
      <x:c r="C24" s="36" t="str">
        <x:v>4. Triggers &amp; Time</x:v>
      </x:c>
      <x:c r="D24" s="36" t="str">
        <x:v>Not Started</x:v>
      </x:c>
      <x:c r="E24" s="80" t="n">
        <x:v>0</x:v>
      </x:c>
      <x:c r="F24" s="36" t="n">
        <x:v>2</x:v>
      </x:c>
      <x:c r="G24" s="36"/>
      <x:c r="H24" s="36"/>
    </x:row>
    <x:row r="25" ht="30" customHeight="1">
      <x:c r="A25" s="36" t="n">
        <x:v>20</x:v>
      </x:c>
      <x:c r="B25" s="36" t="str">
        <x:v>Integration Runtime Fundamentals</x:v>
      </x:c>
      <x:c r="C25" s="36" t="str">
        <x:v>5. Integration Runtime &amp; Networking</x:v>
      </x:c>
      <x:c r="D25" s="36" t="str">
        <x:v>Not Started</x:v>
      </x:c>
      <x:c r="E25" s="80" t="n">
        <x:v>0</x:v>
      </x:c>
      <x:c r="F25" s="36" t="n">
        <x:v>3</x:v>
      </x:c>
      <x:c r="G25" s="36"/>
      <x:c r="H25" s="36"/>
    </x:row>
    <x:row r="26" ht="30" customHeight="1">
      <x:c r="A26" s="36" t="n">
        <x:v>21</x:v>
      </x:c>
      <x:c r="B26" s="36" t="str">
        <x:v>Self-hosted IR Architecture and Operations</x:v>
      </x:c>
      <x:c r="C26" s="36" t="str">
        <x:v>5. Integration Runtime &amp; Networking</x:v>
      </x:c>
      <x:c r="D26" s="36" t="str">
        <x:v>Not Started</x:v>
      </x:c>
      <x:c r="E26" s="80" t="n">
        <x:v>0</x:v>
      </x:c>
      <x:c r="F26" s="36" t="n">
        <x:v>4</x:v>
      </x:c>
      <x:c r="G26" s="36"/>
      <x:c r="H26" s="36"/>
    </x:row>
    <x:row r="27" ht="30" customHeight="1">
      <x:c r="A27" s="36" t="n">
        <x:v>22</x:v>
      </x:c>
      <x:c r="B27" s="36" t="str">
        <x:v>Managed VNet and Managed Private Endpoints</x:v>
      </x:c>
      <x:c r="C27" s="36" t="str">
        <x:v>5. Integration Runtime &amp; Networking</x:v>
      </x:c>
      <x:c r="D27" s="36" t="str">
        <x:v>Not Started</x:v>
      </x:c>
      <x:c r="E27" s="80" t="n">
        <x:v>0</x:v>
      </x:c>
      <x:c r="F27" s="36" t="n">
        <x:v>4</x:v>
      </x:c>
      <x:c r="G27" s="36"/>
      <x:c r="H27" s="36"/>
    </x:row>
    <x:row r="28" ht="30" customHeight="1">
      <x:c r="A28" s="36" t="n">
        <x:v>23</x:v>
      </x:c>
      <x:c r="B28" s="36" t="str">
        <x:v>On-premises Connectivity and Network Paths</x:v>
      </x:c>
      <x:c r="C28" s="36" t="str">
        <x:v>5. Integration Runtime &amp; Networking</x:v>
      </x:c>
      <x:c r="D28" s="36" t="str">
        <x:v>Not Started</x:v>
      </x:c>
      <x:c r="E28" s="80" t="n">
        <x:v>0</x:v>
      </x:c>
      <x:c r="F28" s="36" t="n">
        <x:v>3</x:v>
      </x:c>
      <x:c r="G28" s="36"/>
      <x:c r="H28" s="36"/>
    </x:row>
    <x:row r="29" ht="30" customHeight="1">
      <x:c r="A29" s="36" t="n">
        <x:v>24</x:v>
      </x:c>
      <x:c r="B29" s="36" t="str">
        <x:v>Private Endpoint vs Managed Private Endpoint</x:v>
      </x:c>
      <x:c r="C29" s="36" t="str">
        <x:v>5. Integration Runtime &amp; Networking</x:v>
      </x:c>
      <x:c r="D29" s="36" t="str">
        <x:v>Not Started</x:v>
      </x:c>
      <x:c r="E29" s="80" t="n">
        <x:v>0</x:v>
      </x:c>
      <x:c r="F29" s="36" t="n">
        <x:v>2</x:v>
      </x:c>
      <x:c r="G29" s="36"/>
      <x:c r="H29" s="36"/>
    </x:row>
    <x:row r="30" ht="30" customHeight="1">
      <x:c r="A30" s="36" t="n">
        <x:v>25</x:v>
      </x:c>
      <x:c r="B30" s="36" t="str">
        <x:v>Copy Activity Fundamentals</x:v>
      </x:c>
      <x:c r="C30" s="36" t="str">
        <x:v>6. Copy &amp; Data Movement</x:v>
      </x:c>
      <x:c r="D30" s="36" t="str">
        <x:v>Not Started</x:v>
      </x:c>
      <x:c r="E30" s="80" t="n">
        <x:v>0</x:v>
      </x:c>
      <x:c r="F30" s="36" t="n">
        <x:v>3</x:v>
      </x:c>
      <x:c r="G30" s="36"/>
      <x:c r="H30" s="36"/>
    </x:row>
    <x:row r="31" ht="30" customHeight="1">
      <x:c r="A31" s="36" t="n">
        <x:v>26</x:v>
      </x:c>
      <x:c r="B31" s="36" t="str">
        <x:v>Connectors, Formats and Capability Matrix</x:v>
      </x:c>
      <x:c r="C31" s="36" t="str">
        <x:v>6. Copy &amp; Data Movement</x:v>
      </x:c>
      <x:c r="D31" s="36" t="str">
        <x:v>Not Started</x:v>
      </x:c>
      <x:c r="E31" s="80" t="n">
        <x:v>0</x:v>
      </x:c>
      <x:c r="F31" s="36" t="n">
        <x:v>3</x:v>
      </x:c>
      <x:c r="G31" s="36"/>
      <x:c r="H31" s="36"/>
    </x:row>
    <x:row r="32" ht="30" customHeight="1">
      <x:c r="A32" s="36" t="n">
        <x:v>27</x:v>
      </x:c>
      <x:c r="B32" s="36" t="str">
        <x:v>Schema Mapping and Type Conversion</x:v>
      </x:c>
      <x:c r="C32" s="36" t="str">
        <x:v>6. Copy &amp; Data Movement</x:v>
      </x:c>
      <x:c r="D32" s="36" t="str">
        <x:v>Not Started</x:v>
      </x:c>
      <x:c r="E32" s="80" t="n">
        <x:v>0</x:v>
      </x:c>
      <x:c r="F32" s="36" t="n">
        <x:v>3</x:v>
      </x:c>
      <x:c r="G32" s="36"/>
      <x:c r="H32" s="36"/>
    </x:row>
    <x:row r="33" ht="30" customHeight="1">
      <x:c r="A33" s="36" t="n">
        <x:v>28</x:v>
      </x:c>
      <x:c r="B33" s="36" t="str">
        <x:v>Fault Tolerance and Skipped Rows</x:v>
      </x:c>
      <x:c r="C33" s="36" t="str">
        <x:v>6. Copy &amp; Data Movement</x:v>
      </x:c>
      <x:c r="D33" s="36" t="str">
        <x:v>Not Started</x:v>
      </x:c>
      <x:c r="E33" s="80" t="n">
        <x:v>0</x:v>
      </x:c>
      <x:c r="F33" s="36" t="n">
        <x:v>3</x:v>
      </x:c>
      <x:c r="G33" s="36"/>
      <x:c r="H33" s="36"/>
    </x:row>
    <x:row r="34" ht="30" customHeight="1">
      <x:c r="A34" s="36" t="n">
        <x:v>29</x:v>
      </x:c>
      <x:c r="B34" s="36" t="str">
        <x:v>Data Consistency Verification</x:v>
      </x:c>
      <x:c r="C34" s="36" t="str">
        <x:v>6. Copy &amp; Data Movement</x:v>
      </x:c>
      <x:c r="D34" s="36" t="str">
        <x:v>Not Started</x:v>
      </x:c>
      <x:c r="E34" s="80" t="n">
        <x:v>0</x:v>
      </x:c>
      <x:c r="F34" s="36" t="n">
        <x:v>2</x:v>
      </x:c>
      <x:c r="G34" s="36"/>
      <x:c r="H34" s="36"/>
    </x:row>
    <x:row r="35" ht="30" customHeight="1">
      <x:c r="A35" s="36" t="n">
        <x:v>30</x:v>
      </x:c>
      <x:c r="B35" s="36" t="str">
        <x:v>Staged Copy, Resume and Large File Handling</x:v>
      </x:c>
      <x:c r="C35" s="36" t="str">
        <x:v>6. Copy &amp; Data Movement</x:v>
      </x:c>
      <x:c r="D35" s="36" t="str">
        <x:v>Not Started</x:v>
      </x:c>
      <x:c r="E35" s="80" t="n">
        <x:v>0</x:v>
      </x:c>
      <x:c r="F35" s="36" t="n">
        <x:v>3</x:v>
      </x:c>
      <x:c r="G35" s="36"/>
      <x:c r="H35" s="36"/>
    </x:row>
    <x:row r="36" ht="30" customHeight="1">
      <x:c r="A36" s="36" t="n">
        <x:v>31</x:v>
      </x:c>
      <x:c r="B36" s="36" t="str">
        <x:v>Full Load vs Incremental Load</x:v>
      </x:c>
      <x:c r="C36" s="36" t="str">
        <x:v>7. Incremental Loading &amp; Metadata</x:v>
      </x:c>
      <x:c r="D36" s="36" t="str">
        <x:v>Not Started</x:v>
      </x:c>
      <x:c r="E36" s="80" t="n">
        <x:v>0</x:v>
      </x:c>
      <x:c r="F36" s="36" t="n">
        <x:v>2</x:v>
      </x:c>
      <x:c r="G36" s="36"/>
      <x:c r="H36" s="36"/>
    </x:row>
    <x:row r="37" ht="30" customHeight="1">
      <x:c r="A37" s="36" t="n">
        <x:v>32</x:v>
      </x:c>
      <x:c r="B37" s="36" t="str">
        <x:v>Watermark Patterns</x:v>
      </x:c>
      <x:c r="C37" s="36" t="str">
        <x:v>7. Incremental Loading &amp; Metadata</x:v>
      </x:c>
      <x:c r="D37" s="36" t="str">
        <x:v>Not Started</x:v>
      </x:c>
      <x:c r="E37" s="80" t="n">
        <x:v>0</x:v>
      </x:c>
      <x:c r="F37" s="36" t="n">
        <x:v>3</x:v>
      </x:c>
      <x:c r="G37" s="36"/>
      <x:c r="H37" s="36"/>
    </x:row>
    <x:row r="38" ht="30" customHeight="1">
      <x:c r="A38" s="36" t="n">
        <x:v>33</x:v>
      </x:c>
      <x:c r="B38" s="36" t="str">
        <x:v>Change Tracking and CDC</x:v>
      </x:c>
      <x:c r="C38" s="36" t="str">
        <x:v>7. Incremental Loading &amp; Metadata</x:v>
      </x:c>
      <x:c r="D38" s="36" t="str">
        <x:v>Not Started</x:v>
      </x:c>
      <x:c r="E38" s="80" t="n">
        <x:v>0</x:v>
      </x:c>
      <x:c r="F38" s="36" t="n">
        <x:v>4</x:v>
      </x:c>
      <x:c r="G38" s="36"/>
      <x:c r="H38" s="36"/>
    </x:row>
    <x:row r="39" ht="30" customHeight="1">
      <x:c r="A39" s="36" t="n">
        <x:v>34</x:v>
      </x:c>
      <x:c r="B39" s="36" t="str">
        <x:v>CDC Checkpoints and Rename Risk</x:v>
      </x:c>
      <x:c r="C39" s="36" t="str">
        <x:v>7. Incremental Loading &amp; Metadata</x:v>
      </x:c>
      <x:c r="D39" s="36" t="str">
        <x:v>Not Started</x:v>
      </x:c>
      <x:c r="E39" s="80" t="n">
        <x:v>0</x:v>
      </x:c>
      <x:c r="F39" s="36" t="n">
        <x:v>2</x:v>
      </x:c>
      <x:c r="G39" s="36"/>
      <x:c r="H39" s="36"/>
    </x:row>
    <x:row r="40" ht="30" customHeight="1">
      <x:c r="A40" s="36" t="n">
        <x:v>35</x:v>
      </x:c>
      <x:c r="B40" s="36" t="str">
        <x:v>Metadata-Driven Pipelines</x:v>
      </x:c>
      <x:c r="C40" s="36" t="str">
        <x:v>7. Incremental Loading &amp; Metadata</x:v>
      </x:c>
      <x:c r="D40" s="36" t="str">
        <x:v>Not Started</x:v>
      </x:c>
      <x:c r="E40" s="80" t="n">
        <x:v>0</x:v>
      </x:c>
      <x:c r="F40" s="36" t="n">
        <x:v>4</x:v>
      </x:c>
      <x:c r="G40" s="36"/>
      <x:c r="H40" s="36"/>
    </x:row>
    <x:row r="41" ht="30" customHeight="1">
      <x:c r="A41" s="36" t="n">
        <x:v>36</x:v>
      </x:c>
      <x:c r="B41" s="36" t="str">
        <x:v>Mapping Data Flows</x:v>
      </x:c>
      <x:c r="C41" s="36" t="str">
        <x:v>8. Data Flows &amp; Reconciliation</x:v>
      </x:c>
      <x:c r="D41" s="36" t="str">
        <x:v>Not Started</x:v>
      </x:c>
      <x:c r="E41" s="80" t="n">
        <x:v>0</x:v>
      </x:c>
      <x:c r="F41" s="36" t="n">
        <x:v>3</x:v>
      </x:c>
      <x:c r="G41" s="36"/>
      <x:c r="H41" s="36"/>
    </x:row>
    <x:row r="42" ht="30" customHeight="1">
      <x:c r="A42" s="36" t="n">
        <x:v>37</x:v>
      </x:c>
      <x:c r="B42" s="36" t="str">
        <x:v>Schema Drift and Data Flow Design</x:v>
      </x:c>
      <x:c r="C42" s="36" t="str">
        <x:v>8. Data Flows &amp; Reconciliation</x:v>
      </x:c>
      <x:c r="D42" s="36" t="str">
        <x:v>Not Started</x:v>
      </x:c>
      <x:c r="E42" s="80" t="n">
        <x:v>0</x:v>
      </x:c>
      <x:c r="F42" s="36" t="n">
        <x:v>2</x:v>
      </x:c>
      <x:c r="G42" s="36"/>
      <x:c r="H42" s="36"/>
    </x:row>
    <x:row r="43" ht="30" customHeight="1">
      <x:c r="A43" s="36" t="n">
        <x:v>38</x:v>
      </x:c>
      <x:c r="B43" s="36" t="str">
        <x:v>Reconciliation: Counts, Profiles and Row Fingerprints</x:v>
      </x:c>
      <x:c r="C43" s="36" t="str">
        <x:v>8. Data Flows &amp; Reconciliation</x:v>
      </x:c>
      <x:c r="D43" s="36" t="str">
        <x:v>Not Started</x:v>
      </x:c>
      <x:c r="E43" s="80" t="n">
        <x:v>0</x:v>
      </x:c>
      <x:c r="F43" s="36" t="n">
        <x:v>4</x:v>
      </x:c>
      <x:c r="G43" s="36"/>
      <x:c r="H43" s="36"/>
    </x:row>
    <x:row r="44" ht="30" customHeight="1">
      <x:c r="A44" s="36" t="n">
        <x:v>39</x:v>
      </x:c>
      <x:c r="B44" s="36" t="str">
        <x:v>Assert, Error Rows and Business Rules</x:v>
      </x:c>
      <x:c r="C44" s="36" t="str">
        <x:v>8. Data Flows &amp; Reconciliation</x:v>
      </x:c>
      <x:c r="D44" s="36" t="str">
        <x:v>Not Started</x:v>
      </x:c>
      <x:c r="E44" s="80" t="n">
        <x:v>0</x:v>
      </x:c>
      <x:c r="F44" s="36" t="n">
        <x:v>3</x:v>
      </x:c>
      <x:c r="G44" s="36"/>
      <x:c r="H44" s="36"/>
    </x:row>
    <x:row r="45" ht="30" customHeight="1">
      <x:c r="A45" s="36" t="n">
        <x:v>40</x:v>
      </x:c>
      <x:c r="B45" s="36" t="str">
        <x:v>Data Flow Performance Fundamentals</x:v>
      </x:c>
      <x:c r="C45" s="36" t="str">
        <x:v>8. Data Flows &amp; Reconciliation</x:v>
      </x:c>
      <x:c r="D45" s="36" t="str">
        <x:v>Not Started</x:v>
      </x:c>
      <x:c r="E45" s="80" t="n">
        <x:v>0</x:v>
      </x:c>
      <x:c r="F45" s="36" t="n">
        <x:v>4</x:v>
      </x:c>
      <x:c r="G45" s="36"/>
      <x:c r="H45" s="36"/>
    </x:row>
    <x:row r="46" ht="30" customHeight="1">
      <x:c r="A46" s="36" t="n">
        <x:v>41</x:v>
      </x:c>
      <x:c r="B46" s="36" t="str">
        <x:v>Managed Identity, Key Vault and Authentication</x:v>
      </x:c>
      <x:c r="C46" s="36" t="str">
        <x:v>9. Security, Governance &amp; Monitoring</x:v>
      </x:c>
      <x:c r="D46" s="36" t="str">
        <x:v>Not Started</x:v>
      </x:c>
      <x:c r="E46" s="80" t="n">
        <x:v>0</x:v>
      </x:c>
      <x:c r="F46" s="36" t="n">
        <x:v>3</x:v>
      </x:c>
      <x:c r="G46" s="36"/>
      <x:c r="H46" s="36"/>
    </x:row>
    <x:row r="47" ht="30" customHeight="1">
      <x:c r="A47" s="36" t="n">
        <x:v>42</x:v>
      </x:c>
      <x:c r="B47" s="36" t="str">
        <x:v>CMK and Factory Encryption</x:v>
      </x:c>
      <x:c r="C47" s="36" t="str">
        <x:v>9. Security, Governance &amp; Monitoring</x:v>
      </x:c>
      <x:c r="D47" s="36" t="str">
        <x:v>Not Started</x:v>
      </x:c>
      <x:c r="E47" s="80" t="n">
        <x:v>0</x:v>
      </x:c>
      <x:c r="F47" s="36" t="n">
        <x:v>2</x:v>
      </x:c>
      <x:c r="G47" s="36"/>
      <x:c r="H47" s="36"/>
    </x:row>
    <x:row r="48" ht="30" customHeight="1">
      <x:c r="A48" s="36" t="n">
        <x:v>43</x:v>
      </x:c>
      <x:c r="B48" s="36" t="str">
        <x:v>Trusted Service: Legacy vs Modern</x:v>
      </x:c>
      <x:c r="C48" s="36" t="str">
        <x:v>9. Security, Governance &amp; Monitoring</x:v>
      </x:c>
      <x:c r="D48" s="36" t="str">
        <x:v>Not Started</x:v>
      </x:c>
      <x:c r="E48" s="80" t="n">
        <x:v>0</x:v>
      </x:c>
      <x:c r="F48" s="36" t="n">
        <x:v>2</x:v>
      </x:c>
      <x:c r="G48" s="36"/>
      <x:c r="H48" s="36"/>
    </x:row>
    <x:row r="49" ht="30" customHeight="1">
      <x:c r="A49" s="36" t="n">
        <x:v>44</x:v>
      </x:c>
      <x:c r="B49" s="36" t="str">
        <x:v>Monitoring, Alerts and Run History</x:v>
      </x:c>
      <x:c r="C49" s="36" t="str">
        <x:v>9. Security, Governance &amp; Monitoring</x:v>
      </x:c>
      <x:c r="D49" s="36" t="str">
        <x:v>Not Started</x:v>
      </x:c>
      <x:c r="E49" s="80" t="n">
        <x:v>0</x:v>
      </x:c>
      <x:c r="F49" s="36" t="n">
        <x:v>3</x:v>
      </x:c>
      <x:c r="G49" s="36"/>
      <x:c r="H49" s="36"/>
    </x:row>
    <x:row r="50" ht="30" customHeight="1">
      <x:c r="A50" s="36" t="n">
        <x:v>45</x:v>
      </x:c>
      <x:c r="B50" s="36" t="str">
        <x:v>Operational Logging and Sensitive Data</x:v>
      </x:c>
      <x:c r="C50" s="36" t="str">
        <x:v>9. Security, Governance &amp; Monitoring</x:v>
      </x:c>
      <x:c r="D50" s="36" t="str">
        <x:v>Not Started</x:v>
      </x:c>
      <x:c r="E50" s="80" t="n">
        <x:v>0</x:v>
      </x:c>
      <x:c r="F50" s="36" t="n">
        <x:v>3</x:v>
      </x:c>
      <x:c r="G50" s="36"/>
      <x:c r="H50" s="36"/>
    </x:row>
    <x:row r="51" ht="30" customHeight="1">
      <x:c r="A51" s="36" t="n">
        <x:v>46</x:v>
      </x:c>
      <x:c r="B51" s="36" t="str">
        <x:v>Git Integration and Collaboration</x:v>
      </x:c>
      <x:c r="C51" s="36" t="str">
        <x:v>10. CI/CD, IaC &amp; Reliability</x:v>
      </x:c>
      <x:c r="D51" s="36" t="str">
        <x:v>Not Started</x:v>
      </x:c>
      <x:c r="E51" s="80" t="n">
        <x:v>0</x:v>
      </x:c>
      <x:c r="F51" s="36" t="n">
        <x:v>2</x:v>
      </x:c>
      <x:c r="G51" s="36"/>
      <x:c r="H51" s="36"/>
    </x:row>
    <x:row r="52" ht="30" customHeight="1">
      <x:c r="A52" s="36" t="n">
        <x:v>47</x:v>
      </x:c>
      <x:c r="B52" s="36" t="str">
        <x:v>ARM Templates and Automated Publishing</x:v>
      </x:c>
      <x:c r="C52" s="36" t="str">
        <x:v>10. CI/CD, IaC &amp; Reliability</x:v>
      </x:c>
      <x:c r="D52" s="36" t="str">
        <x:v>Not Started</x:v>
      </x:c>
      <x:c r="E52" s="80" t="n">
        <x:v>0</x:v>
      </x:c>
      <x:c r="F52" s="36" t="n">
        <x:v>3</x:v>
      </x:c>
      <x:c r="G52" s="36"/>
      <x:c r="H52" s="36"/>
    </x:row>
    <x:row r="53" ht="30" customHeight="1">
      <x:c r="A53" s="36" t="n">
        <x:v>48</x:v>
      </x:c>
      <x:c r="B53" s="36" t="str">
        <x:v>Bicep and Infrastructure as Code</x:v>
      </x:c>
      <x:c r="C53" s="36" t="str">
        <x:v>10. CI/CD, IaC &amp; Reliability</x:v>
      </x:c>
      <x:c r="D53" s="36" t="str">
        <x:v>Not Started</x:v>
      </x:c>
      <x:c r="E53" s="80" t="n">
        <x:v>0</x:v>
      </x:c>
      <x:c r="F53" s="36" t="n">
        <x:v>2</x:v>
      </x:c>
      <x:c r="G53" s="36"/>
      <x:c r="H53" s="36"/>
    </x:row>
    <x:row r="54" ht="30" customHeight="1">
      <x:c r="A54" s="36" t="n">
        <x:v>49</x:v>
      </x:c>
      <x:c r="B54" s="36" t="str">
        <x:v>Deployment Parameters, Global Parameters and Trigger Handling</x:v>
      </x:c>
      <x:c r="C54" s="36" t="str">
        <x:v>10. CI/CD, IaC &amp; Reliability</x:v>
      </x:c>
      <x:c r="D54" s="36" t="str">
        <x:v>Not Started</x:v>
      </x:c>
      <x:c r="E54" s="80" t="n">
        <x:v>0</x:v>
      </x:c>
      <x:c r="F54" s="36" t="n">
        <x:v>3</x:v>
      </x:c>
      <x:c r="G54" s="36"/>
      <x:c r="H54" s="36"/>
    </x:row>
    <x:row r="55" ht="30" customHeight="1">
      <x:c r="A55" s="36" t="n">
        <x:v>50</x:v>
      </x:c>
      <x:c r="B55" s="36" t="str">
        <x:v>Reliability, Idempotency and Recovery</x:v>
      </x:c>
      <x:c r="C55" s="36" t="str">
        <x:v>10. CI/CD, IaC &amp; Reliability</x:v>
      </x:c>
      <x:c r="D55" s="36" t="str">
        <x:v>Not Started</x:v>
      </x:c>
      <x:c r="E55" s="80" t="n">
        <x:v>0</x:v>
      </x:c>
      <x:c r="F55" s="36" t="n">
        <x:v>4</x:v>
      </x:c>
      <x:c r="G55" s="36"/>
      <x:c r="H55" s="36"/>
    </x:row>
    <x:row r="56" ht="30" customHeight="1">
      <x:c r="A56" s="36" t="n">
        <x:v>51</x:v>
      </x:c>
      <x:c r="B56" s="36" t="str">
        <x:v>Copy Performance: DIUs, Parallel Copies and Bottlenecks</x:v>
      </x:c>
      <x:c r="C56" s="36" t="str">
        <x:v>11. Performance, Cost &amp; Architecture</x:v>
      </x:c>
      <x:c r="D56" s="36" t="str">
        <x:v>Not Started</x:v>
      </x:c>
      <x:c r="E56" s="80" t="n">
        <x:v>0</x:v>
      </x:c>
      <x:c r="F56" s="36" t="n">
        <x:v>4</x:v>
      </x:c>
      <x:c r="G56" s="36"/>
      <x:c r="H56" s="36"/>
    </x:row>
    <x:row r="57" ht="30" customHeight="1">
      <x:c r="A57" s="36" t="n">
        <x:v>52</x:v>
      </x:c>
      <x:c r="B57" s="36" t="str">
        <x:v>ADF Cost Model and FinOps</x:v>
      </x:c>
      <x:c r="C57" s="36" t="str">
        <x:v>11. Performance, Cost &amp; Architecture</x:v>
      </x:c>
      <x:c r="D57" s="36" t="str">
        <x:v>Not Started</x:v>
      </x:c>
      <x:c r="E57" s="80" t="n">
        <x:v>0</x:v>
      </x:c>
      <x:c r="F57" s="36" t="n">
        <x:v>3</x:v>
      </x:c>
      <x:c r="G57" s="36"/>
      <x:c r="H57" s="36"/>
    </x:row>
    <x:row r="58" ht="30" customHeight="1">
      <x:c r="A58" s="36" t="n">
        <x:v>53</x:v>
      </x:c>
      <x:c r="B58" s="36" t="str">
        <x:v>Scale and Concurrency Trade-offs</x:v>
      </x:c>
      <x:c r="C58" s="36" t="str">
        <x:v>11. Performance, Cost &amp; Architecture</x:v>
      </x:c>
      <x:c r="D58" s="36" t="str">
        <x:v>Not Started</x:v>
      </x:c>
      <x:c r="E58" s="80" t="n">
        <x:v>0</x:v>
      </x:c>
      <x:c r="F58" s="36" t="n">
        <x:v>3</x:v>
      </x:c>
      <x:c r="G58" s="36"/>
      <x:c r="H58" s="36"/>
    </x:row>
    <x:row r="59" ht="30" customHeight="1">
      <x:c r="A59" s="36" t="n">
        <x:v>54</x:v>
      </x:c>
      <x:c r="B59" s="36" t="str">
        <x:v>Architecture Trade-offs: ADF vs Databricks vs Synapse</x:v>
      </x:c>
      <x:c r="C59" s="36" t="str">
        <x:v>11. Performance, Cost &amp; Architecture</x:v>
      </x:c>
      <x:c r="D59" s="36" t="str">
        <x:v>Not Started</x:v>
      </x:c>
      <x:c r="E59" s="80" t="n">
        <x:v>0</x:v>
      </x:c>
      <x:c r="F59" s="36" t="n">
        <x:v>3</x:v>
      </x:c>
      <x:c r="G59" s="36"/>
      <x:c r="H59" s="36"/>
    </x:row>
    <x:row r="60" ht="30" customHeight="1">
      <x:c r="A60" s="36" t="n">
        <x:v>55</x:v>
      </x:c>
      <x:c r="B60" s="36" t="str">
        <x:v>ADF + Azure Databricks</x:v>
      </x:c>
      <x:c r="C60" s="36" t="str">
        <x:v>12. Platform Integration &amp; Interview Readiness</x:v>
      </x:c>
      <x:c r="D60" s="36" t="str">
        <x:v>Not Started</x:v>
      </x:c>
      <x:c r="E60" s="80" t="n">
        <x:v>0</x:v>
      </x:c>
      <x:c r="F60" s="36" t="n">
        <x:v>3</x:v>
      </x:c>
      <x:c r="G60" s="36"/>
      <x:c r="H60" s="36"/>
    </x:row>
    <x:row r="61" ht="30" customHeight="1">
      <x:c r="A61" s="36" t="n">
        <x:v>56</x:v>
      </x:c>
      <x:c r="B61" s="36" t="str">
        <x:v>ADF + Azure Synapse</x:v>
      </x:c>
      <x:c r="C61" s="36" t="str">
        <x:v>12. Platform Integration &amp; Interview Readiness</x:v>
      </x:c>
      <x:c r="D61" s="36" t="str">
        <x:v>Not Started</x:v>
      </x:c>
      <x:c r="E61" s="80" t="n">
        <x:v>0</x:v>
      </x:c>
      <x:c r="F61" s="36" t="n">
        <x:v>2</x:v>
      </x:c>
      <x:c r="G61" s="36"/>
      <x:c r="H61" s="36"/>
    </x:row>
    <x:row r="62" ht="30" customHeight="1">
      <x:c r="A62" s="36" t="n">
        <x:v>57</x:v>
      </x:c>
      <x:c r="B62" s="36" t="str">
        <x:v>ADF vs Fabric Data Factory in 2026</x:v>
      </x:c>
      <x:c r="C62" s="36" t="str">
        <x:v>12. Platform Integration &amp; Interview Readiness</x:v>
      </x:c>
      <x:c r="D62" s="36" t="str">
        <x:v>Not Started</x:v>
      </x:c>
      <x:c r="E62" s="80" t="n">
        <x:v>0</x:v>
      </x:c>
      <x:c r="F62" s="36" t="n">
        <x:v>3</x:v>
      </x:c>
      <x:c r="G62" s="36"/>
      <x:c r="H62" s="36"/>
    </x:row>
    <x:row r="63" ht="30" customHeight="1">
      <x:c r="A63" s="36" t="n">
        <x:v>58</x:v>
      </x:c>
      <x:c r="B63" s="36" t="str">
        <x:v>Enterprise Migration Architecture</x:v>
      </x:c>
      <x:c r="C63" s="36" t="str">
        <x:v>12. Platform Integration &amp; Interview Readiness</x:v>
      </x:c>
      <x:c r="D63" s="36" t="str">
        <x:v>Not Started</x:v>
      </x:c>
      <x:c r="E63" s="80" t="n">
        <x:v>0</x:v>
      </x:c>
      <x:c r="F63" s="36" t="n">
        <x:v>6</x:v>
      </x:c>
      <x:c r="G63" s="36"/>
      <x:c r="H63" s="36"/>
    </x:row>
    <x:row r="64" ht="30" customHeight="1">
      <x:c r="A64" s="36" t="n">
        <x:v>59</x:v>
      </x:c>
      <x:c r="B64" s="36" t="str">
        <x:v>ADF Interview Scenario Drills</x:v>
      </x:c>
      <x:c r="C64" s="36" t="str">
        <x:v>12. Platform Integration &amp; Interview Readiness</x:v>
      </x:c>
      <x:c r="D64" s="36" t="str">
        <x:v>Not Started</x:v>
      </x:c>
      <x:c r="E64" s="80" t="n">
        <x:v>0</x:v>
      </x:c>
      <x:c r="F64" s="36" t="n">
        <x:v>6</x:v>
      </x:c>
      <x:c r="G64" s="36"/>
      <x:c r="H64" s="36"/>
    </x:row>
    <x:row r="65" ht="30" customHeight="1">
      <x:c r="A65" s="36" t="n">
        <x:v>60</x:v>
      </x:c>
      <x:c r="B65" s="36" t="str">
        <x:v>ADF Architecture Review Capstone</x:v>
      </x:c>
      <x:c r="C65" s="36" t="str">
        <x:v>12. Platform Integration &amp; Interview Readiness</x:v>
      </x:c>
      <x:c r="D65" s="36" t="str">
        <x:v>Not Started</x:v>
      </x:c>
      <x:c r="E65" s="80" t="n">
        <x:v>0</x:v>
      </x:c>
      <x:c r="F65" s="36" t="n">
        <x:v>8</x:v>
      </x:c>
      <x:c r="G65" s="36"/>
      <x:c r="H65" s="36"/>
    </x:row>
  </x:sheetData>
  <x:mergeCells>
    <x:mergeCell ref="A1:H1"/>
    <x:mergeCell ref="J1:N1"/>
  </x:mergeCells>
  <x:conditionalFormatting sqref="D6:D65">
    <x:cfRule type="expression" dxfId="0" priority="1">
      <x:formula>D6="Completed"</x:formula>
    </x:cfRule>
    <x:cfRule type="expression" dxfId="1" priority="2">
      <x:formula>D6="In Progress"</x:formula>
    </x:cfRule>
    <x:cfRule type="expression" dxfId="2" priority="3">
      <x:formula>D6="Blocked"</x:formula>
    </x:cfRule>
  </x:conditionalFormatting>
  <x:conditionalFormatting sqref="E6:E65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{BC465226-23DC-DBFF-FC4D-AC61020DF8D3}</x14:id>
        </x:ext>
      </x:extLst>
    </x:cfRule>
  </x:conditionalFormatting>
  <x:dataValidations count="2">
    <x:dataValidation type="list" sqref="D6:D65">
      <x:formula1>"Not Started,In Progress,Completed,Blocked"</x:formula1>
    </x:dataValidation>
    <x:dataValidation type="decimal" operator="between" sqref="E6:E65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95f5b3fd8e1f45f2"/>
  <x:tableParts count="1">
    <x:tablePart xmlns:r="http://schemas.openxmlformats.org/officeDocument/2006/relationships" r:id="Ra625ad88465a4a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BC465226-23DC-DBFF-FC4D-AC61020DF8D3}">
            <x14:dataBar gradient="1">
              <x14:cfvo type="min"/>
              <x14:cfvo type="max"/>
              <x14:fillColor rgb="FF4472C4"/>
            </x14:dataBar>
          </x14:cfRule>
          <xm:sqref>E6:E65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8" hidden="0" customWidth="1"/>
    <x:col min="4" max="4" width="38" hidden="0" customWidth="1"/>
    <x:col min="5" max="5" width="46" hidden="0" customWidth="1"/>
  </x:cols>
  <x:sheetData>
    <x:row r="1" ht="22" customHeight="1">
      <x:c r="A1" s="5" t="str">
        <x:v>ADF Architecture &amp; Decision Model</x:v>
      </x:c>
      <x:c r="B1" s="5"/>
      <x:c r="C1" s="5"/>
      <x:c r="D1" s="5"/>
      <x:c r="E1" s="5"/>
    </x:row>
    <x:row r="2" ht="22" customHeight="1"/>
    <x:row r="3" ht="22" customHeight="1">
      <x:c r="A3" s="29" t="str">
        <x:v>Decision Area</x:v>
      </x:c>
      <x:c r="B3" s="29" t="str">
        <x:v>Use ADF When...</x:v>
      </x:c>
      <x:c r="C3" s="29" t="str">
        <x:v>Consider Instead / Alongside</x:v>
      </x:c>
      <x:c r="D3" s="29" t="str">
        <x:v>Key Trade-off</x:v>
      </x:c>
      <x:c r="E3" s="29" t="str">
        <x:v>Interview Framing</x:v>
      </x:c>
    </x:row>
    <x:row r="4" ht="50" customHeight="1">
      <x:c r="A4" s="36" t="str">
        <x:v>Orchestration</x:v>
      </x:c>
      <x:c r="B4" s="36" t="str">
        <x:v>You need scheduling, dependency management, retries, triggers and cross-service orchestration.</x:v>
      </x:c>
      <x:c r="C4" s="36" t="str">
        <x:v>Databricks Workflows, Fabric pipelines, Logic Apps depending on scope.</x:v>
      </x:c>
      <x:c r="D4" s="36" t="str">
        <x:v>Central orchestration vs tool-local orchestration.</x:v>
      </x:c>
      <x:c r="E4" s="36" t="str">
        <x:v>Explain why orchestration belongs in ADF and why the transformation engine stays elsewhere.</x:v>
      </x:c>
    </x:row>
    <x:row r="5" ht="50" customHeight="1">
      <x:c r="A5" s="36" t="str">
        <x:v>Data movement</x:v>
      </x:c>
      <x:c r="B5" s="36" t="str">
        <x:v>You need managed movement between heterogeneous supported sources/sinks.</x:v>
      </x:c>
      <x:c r="C5" s="36" t="str">
        <x:v>Databricks, native database tooling, third-party replication for specialised cases.</x:v>
      </x:c>
      <x:c r="D5" s="36" t="str">
        <x:v>Connector capability, throughput, operational simplicity.</x:v>
      </x:c>
      <x:c r="E5" s="36" t="str">
        <x:v>Talk about source/sink compatibility, IR and recovery—not just 'Copy activity'.</x:v>
      </x:c>
    </x:row>
    <x:row r="6" ht="50" customHeight="1">
      <x:c r="A6" s="36" t="str">
        <x:v>Heavy Spark transformation</x:v>
      </x:c>
      <x:c r="B6" s="36" t="str">
        <x:v>You need Spark-native large-scale transformation, notebooks or complex engineering.</x:v>
      </x:c>
      <x:c r="C6" s="36" t="str">
        <x:v>Azure Databricks / Synapse Spark.</x:v>
      </x:c>
      <x:c r="D6" s="36" t="str">
        <x:v>Cost, cluster lifecycle, code flexibility, skill set.</x:v>
      </x:c>
      <x:c r="E6" s="36" t="str">
        <x:v>State why ADF should orchestrate rather than become the Spark engine.</x:v>
      </x:c>
    </x:row>
    <x:row r="7" ht="50" customHeight="1">
      <x:c r="A7" s="36" t="str">
        <x:v>SQL transformation</x:v>
      </x:c>
      <x:c r="B7" s="36" t="str">
        <x:v>The transformation is naturally relational and close to the database/warehouse.</x:v>
      </x:c>
      <x:c r="C7" s="36" t="str">
        <x:v>Azure SQL / Synapse SQL / Databricks SQL.</x:v>
      </x:c>
      <x:c r="D7" s="36" t="str">
        <x:v>Pushdown, data gravity and workload isolation.</x:v>
      </x:c>
      <x:c r="E7" s="36" t="str">
        <x:v>Explain where the data should be processed for cost and performance.</x:v>
      </x:c>
    </x:row>
    <x:row r="8" ht="50" customHeight="1">
      <x:c r="A8" s="36" t="str">
        <x:v>Visual transformation</x:v>
      </x:c>
      <x:c r="B8" s="36" t="str">
        <x:v>The team wants low-code transformation with ADF-managed Spark.</x:v>
      </x:c>
      <x:c r="C8" s="36" t="str">
        <x:v>Databricks for code-heavy or advanced Spark work.</x:v>
      </x:c>
      <x:c r="D8" s="36" t="str">
        <x:v>Developer productivity vs control and Spark engineering depth.</x:v>
      </x:c>
      <x:c r="E8" s="36" t="str">
        <x:v>Use Data Flow when visual transformation is an explicit requirement and operational fit is good.</x:v>
      </x:c>
    </x:row>
    <x:row r="9" ht="50" customHeight="1">
      <x:c r="A9" s="36" t="str">
        <x:v>Private/on-prem ingestion</x:v>
      </x:c>
      <x:c r="B9" s="36" t="str">
        <x:v>Sources are behind a private network and need controlled connectivity.</x:v>
      </x:c>
      <x:c r="C9" s="36" t="str">
        <x:v>SHIR, Managed VNet Azure IR with appropriate network connectivity.</x:v>
      </x:c>
      <x:c r="D9" s="36" t="str">
        <x:v>Network path, ownership and security.</x:v>
      </x:c>
      <x:c r="E9" s="36" t="str">
        <x:v>Describe the actual network path; never reduce it to 'SHIR = no VPN'.</x:v>
      </x:c>
    </x:row>
    <x:row r="10" ht="50" customHeight="1">
      <x:c r="A10" s="36" t="str">
        <x:v>Event ingestion</x:v>
      </x:c>
      <x:c r="B10" s="36" t="str">
        <x:v>Data arrival should trigger processing.</x:v>
      </x:c>
      <x:c r="C10" s="36" t="str">
        <x:v>Storage Event / Custom Event / Event Grid.</x:v>
      </x:c>
      <x:c r="D10" s="36" t="str">
        <x:v>Event filtering, duplicate events, downstream idempotency.</x:v>
      </x:c>
      <x:c r="E10" s="36" t="str">
        <x:v>Explain whether the event represents arrival, completeness or merely notification.</x:v>
      </x:c>
    </x:row>
    <x:row r="11" ht="50" customHeight="1">
      <x:c r="A11" s="36" t="str">
        <x:v>Time-window processing</x:v>
      </x:c>
      <x:c r="B11" s="36" t="str">
        <x:v>Each time window is a business processing unit and missed windows must be recoverable.</x:v>
      </x:c>
      <x:c r="C11" s="36" t="str">
        <x:v>Schedule trigger for simple wall-clock jobs.</x:v>
      </x:c>
      <x:c r="D11" s="36" t="str">
        <x:v>State, backfill, concurrency and late-arriving data.</x:v>
      </x:c>
      <x:c r="E11" s="36" t="str">
        <x:v>Tumbling windows are about stateful time windows, not simply 'better scheduling'.</x:v>
      </x:c>
    </x:row>
    <x:row r="12" ht="50" customHeight="1">
      <x:c r="A12" s="36" t="str">
        <x:v>Incremental loads</x:v>
      </x:c>
      <x:c r="B12" s="36" t="str">
        <x:v>Source exposes reliable change timestamps, monotonic keys, Change Tracking or CDC.</x:v>
      </x:c>
      <x:c r="C12" s="36" t="str">
        <x:v>Replication tooling / streaming when low latency is required.</x:v>
      </x:c>
      <x:c r="D12" s="36" t="str">
        <x:v>Correctness around updates/deletes vs simplicity.</x:v>
      </x:c>
      <x:c r="E12" s="36" t="str">
        <x:v>Start with data semantics: what changes must be observed?</x:v>
      </x:c>
    </x:row>
    <x:row r="13" ht="50" customHeight="1">
      <x:c r="A13" s="36" t="str">
        <x:v>Metadata-driven platform</x:v>
      </x:c>
      <x:c r="B13" s="36" t="str">
        <x:v>Many sources share a common ingestion pattern.</x:v>
      </x:c>
      <x:c r="C13" s="36" t="str">
        <x:v>Hand-built pipelines for highly bespoke flows.</x:v>
      </x:c>
      <x:c r="D13" s="36" t="str">
        <x:v>Framework complexity vs duplication.</x:v>
      </x:c>
      <x:c r="E13" s="36" t="str">
        <x:v>Use metadata-driven design to standardise, not to create an opaque framework nobody owns.</x:v>
      </x:c>
    </x:row>
    <x:row r="14" ht="50" customHeight="1">
      <x:c r="A14" s="36" t="str">
        <x:v>Security</x:v>
      </x:c>
      <x:c r="B14" s="36" t="str">
        <x:v>Enterprise identity, Key Vault, RBAC, networking and controlled logging matter.</x:v>
      </x:c>
      <x:c r="C14" s="36" t="str">
        <x:v>Platform-wide governance tools alongside ADF.</x:v>
      </x:c>
      <x:c r="D14" s="36" t="str">
        <x:v>Security controls must span ADF, data stores and network.</x:v>
      </x:c>
      <x:c r="E14" s="36" t="str">
        <x:v>State the control, the data it protects and where enforcement occurs.</x:v>
      </x:c>
    </x:row>
    <x:row r="15" ht="50" customHeight="1">
      <x:c r="A15" s="36" t="str">
        <x:v>CI/CD</x:v>
      </x:c>
      <x:c r="B15" s="36" t="str">
        <x:v>Multiple environments require repeatable promotion and auditability.</x:v>
      </x:c>
      <x:c r="C15" s="36" t="str">
        <x:v>IaC + release tooling around ADF.</x:v>
      </x:c>
      <x:c r="D15" s="36" t="str">
        <x:v>Template generation, parameters and trigger handling.</x:v>
      </x:c>
      <x:c r="E15" s="36" t="str">
        <x:v>Separate Microsoft product behavior from your team's deployment policy.</x:v>
      </x:c>
    </x:row>
    <x:row r="16" ht="50" customHeight="1">
      <x:c r="A16" s="36" t="str">
        <x:v>Fabric decision</x:v>
      </x:c>
      <x:c r="B16" s="36" t="str">
        <x:v>The organisation is adopting Fabric as the strategic analytics/data integration platform.</x:v>
      </x:c>
      <x:c r="C16" s="36" t="str">
        <x:v>Azure ADF for existing Azure PaaS estate and specific capability/network requirements.</x:v>
      </x:c>
      <x:c r="D16" s="36" t="str">
        <x:v>Migration effort, feature parity, capacity model and platform strategy.</x:v>
      </x:c>
      <x:c r="E16" s="36" t="str">
        <x:v>Do not say ADF is obsolete; discuss estate, requirements and direction.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e6658b799f47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30" hidden="0" customWidth="1"/>
    <x:col min="4" max="4" width="12" hidden="0" customWidth="1"/>
    <x:col min="5" max="5" width="44" hidden="0" customWidth="1"/>
    <x:col min="6" max="6" width="18" hidden="0" customWidth="1"/>
  </x:cols>
  <x:sheetData>
    <x:row r="1" ht="22" customHeight="1">
      <x:c r="A1" s="5" t="str">
        <x:v>ADF Practical Portfolio &amp; Interview Scenarios</x:v>
      </x:c>
      <x:c r="B1" s="5"/>
      <x:c r="C1" s="5"/>
      <x:c r="D1" s="5"/>
      <x:c r="E1" s="5"/>
      <x:c r="F1" s="5"/>
    </x:row>
    <x:row r="2" ht="22" customHeight="1"/>
    <x:row r="3" ht="22" customHeight="1">
      <x:c r="A3" s="29" t="str">
        <x:v>Artifact / Scenario</x:v>
      </x:c>
      <x:c r="B3" s="29" t="str">
        <x:v>What It Demonstrates</x:v>
      </x:c>
      <x:c r="C3" s="29" t="str">
        <x:v>Target Role Fit</x:v>
      </x:c>
      <x:c r="D3" s="29" t="str">
        <x:v>Est. Hours</x:v>
      </x:c>
      <x:c r="E3" s="29" t="str">
        <x:v>Output</x:v>
      </x:c>
      <x:c r="F3" s="29" t="str">
        <x:v>Priority</x:v>
      </x:c>
    </x:row>
    <x:row r="4" ht="48" customHeight="1">
      <x:c r="A4" s="36" t="str">
        <x:v>1. Hybrid Ingestion Architecture</x:v>
      </x:c>
      <x:c r="B4" s="36" t="str">
        <x:v>ADF + SHIR + ADLS + SQL; network path, ownership, monitoring and recovery.</x:v>
      </x:c>
      <x:c r="C4" s="36" t="str">
        <x:v>PO / Program / Cloud EM</x:v>
      </x:c>
      <x:c r="D4" s="36" t="n">
        <x:v>8</x:v>
      </x:c>
      <x:c r="E4" s="36" t="str">
        <x:v>Architecture diagram + operating checklist</x:v>
      </x:c>
      <x:c r="F4" s="36" t="str">
        <x:v>1 - Build First</x:v>
      </x:c>
    </x:row>
    <x:row r="5" ht="48" customHeight="1">
      <x:c r="A5" s="36" t="str">
        <x:v>2. Metadata-Driven Multi-Table Loader</x:v>
      </x:c>
      <x:c r="B5" s="36" t="str">
        <x:v>Control table, parameterised datasets, ForEach, concurrency and idempotency.</x:v>
      </x:c>
      <x:c r="C5" s="36" t="str">
        <x:v>TPM / EM / Program</x:v>
      </x:c>
      <x:c r="D5" s="36" t="n">
        <x:v>8</x:v>
      </x:c>
      <x:c r="E5" s="36" t="str">
        <x:v>Control-table design + pipeline pattern</x:v>
      </x:c>
      <x:c r="F5" s="36" t="str">
        <x:v>2 - Build Second</x:v>
      </x:c>
    </x:row>
    <x:row r="6" ht="48" customHeight="1">
      <x:c r="A6" s="36" t="str">
        <x:v>3. Incremental/CDC Pipeline</x:v>
      </x:c>
      <x:c r="B6" s="36" t="str">
        <x:v>Watermark vs CDC, checkpoint handling, merge/upsert and reconciliation.</x:v>
      </x:c>
      <x:c r="C6" s="36" t="str">
        <x:v>Data Platform PM / EM</x:v>
      </x:c>
      <x:c r="D6" s="36" t="n">
        <x:v>8</x:v>
      </x:c>
      <x:c r="E6" s="36" t="str">
        <x:v>Incremental-load design + cutover plan</x:v>
      </x:c>
      <x:c r="F6" s="36" t="str">
        <x:v>3 - Build Third</x:v>
      </x:c>
    </x:row>
    <x:row r="7" ht="48" customHeight="1">
      <x:c r="A7" s="36" t="str">
        <x:v>4. Data Migration Reconciliation Pack</x:v>
      </x:c>
      <x:c r="B7" s="36" t="str">
        <x:v>Counts, profiles, row fingerprints, assertions and sign-off criteria.</x:v>
      </x:c>
      <x:c r="C7" s="36" t="str">
        <x:v>Program / Delivery / EM</x:v>
      </x:c>
      <x:c r="D7" s="36" t="n">
        <x:v>6</x:v>
      </x:c>
      <x:c r="E7" s="36" t="str">
        <x:v>Reconciliation strategy + acceptance checklist</x:v>
      </x:c>
      <x:c r="F7" s="36" t="str">
        <x:v>4 - Build Fourth</x:v>
      </x:c>
    </x:row>
    <x:row r="8" ht="48" customHeight="1">
      <x:c r="A8" s="36" t="str">
        <x:v>5. ADF Security &amp; Network Review</x:v>
      </x:c>
      <x:c r="B8" s="36" t="str">
        <x:v>Managed identity, Key Vault, Managed VNet, managed private endpoints, trusted service.</x:v>
      </x:c>
      <x:c r="C8" s="36" t="str">
        <x:v>Cloud EM / Architecture</x:v>
      </x:c>
      <x:c r="D8" s="36" t="n">
        <x:v>6</x:v>
      </x:c>
      <x:c r="E8" s="36" t="str">
        <x:v>Security review + threat/control matrix</x:v>
      </x:c>
      <x:c r="F8" s="36" t="str">
        <x:v>5 - Build Fifth</x:v>
      </x:c>
    </x:row>
    <x:row r="9" ht="48" customHeight="1">
      <x:c r="A9" s="36" t="str">
        <x:v>6. CI/CD Release Design</x:v>
      </x:c>
      <x:c r="B9" s="36" t="str">
        <x:v>Git, ARM template generation, environment parameters, Bicep, trigger handling.</x:v>
      </x:c>
      <x:c r="C9" s="36" t="str">
        <x:v>Program / Delivery / EM</x:v>
      </x:c>
      <x:c r="D9" s="36" t="n">
        <x:v>6</x:v>
      </x:c>
      <x:c r="E9" s="36" t="str">
        <x:v>Release architecture + deployment checklist</x:v>
      </x:c>
      <x:c r="F9" s="36" t="str">
        <x:v>6 - Build Sixth</x:v>
      </x:c>
    </x:row>
    <x:row r="10" ht="48" customHeight="1">
      <x:c r="A10" s="36" t="str">
        <x:v>7. Performance &amp; Cost Case</x:v>
      </x:c>
      <x:c r="B10" s="36" t="str">
        <x:v>Copy tuning, DIUs, concurrency, Data Flow performance, cost drivers.</x:v>
      </x:c>
      <x:c r="C10" s="36" t="str">
        <x:v>PO / EM / Program</x:v>
      </x:c>
      <x:c r="D10" s="36" t="n">
        <x:v>6</x:v>
      </x:c>
      <x:c r="E10" s="36" t="str">
        <x:v>Performance diagnosis + FinOps note</x:v>
      </x:c>
      <x:c r="F10" s="36" t="str">
        <x:v>7 - Build Seventh</x:v>
      </x:c>
    </x:row>
    <x:row r="11" ht="48" customHeight="1">
      <x:c r="A11" s="36" t="str">
        <x:v>8. ADF vs Databricks vs Fabric Decision</x:v>
      </x:c>
      <x:c r="B11" s="36" t="str">
        <x:v>Architecture selection with explicit assumptions and trade-offs.</x:v>
      </x:c>
      <x:c r="C11" s="36" t="str">
        <x:v>Product / Architecture / EM</x:v>
      </x:c>
      <x:c r="D11" s="36" t="n">
        <x:v>5</x:v>
      </x:c>
      <x:c r="E11" s="36" t="str">
        <x:v>Executive decision memo</x:v>
      </x:c>
      <x:c r="F11" s="36" t="str">
        <x:v>8 - Build Eighth</x:v>
      </x:c>
    </x:row>
    <x:row r="12" ht="48" customHeight="1">
      <x:c r="A12" s="36" t="str">
        <x:v>9. Enterprise Migration Case</x:v>
      </x:c>
      <x:c r="B12" s="36" t="str">
        <x:v>100–500 tables, hybrid sources, cutover, DR, reconciliation, operations.</x:v>
      </x:c>
      <x:c r="C12" s="36" t="str">
        <x:v>Program / Product / EM</x:v>
      </x:c>
      <x:c r="D12" s="36" t="n">
        <x:v>10</x:v>
      </x:c>
      <x:c r="E12" s="36" t="str">
        <x:v>End-to-end case study</x:v>
      </x:c>
      <x:c r="F12" s="36" t="str">
        <x:v>9 - Capstone</x:v>
      </x:c>
    </x:row>
    <x:row r="13" ht="48" customHeight="1">
      <x:c r="A13" s="36" t="str">
        <x:v>10. Interview Scenario Pack</x:v>
      </x:c>
      <x:c r="B13" s="36" t="str">
        <x:v>Ten 2–3 minute answers covering incidents, cost, security, migration and architecture.</x:v>
      </x:c>
      <x:c r="C13" s="36" t="str">
        <x:v>All target roles</x:v>
      </x:c>
      <x:c r="D13" s="36" t="n">
        <x:v>6</x:v>
      </x:c>
      <x:c r="E13" s="36" t="str">
        <x:v>Written/recorded answer pack</x:v>
      </x:c>
      <x:c r="F13" s="36" t="str">
        <x:v>10 - Interview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3860c26446541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2" hidden="0" customWidth="1"/>
    <x:col min="4" max="4" width="16" hidden="0" customWidth="1"/>
    <x:col min="5" max="5" width="70" hidden="0" customWidth="1"/>
  </x:cols>
  <x:sheetData>
    <x:row r="1" ht="22" customHeight="1">
      <x:c r="A1" s="5" t="str">
        <x:v>ADF Official Learning &amp; Reference Map</x:v>
      </x:c>
      <x:c r="B1" s="5"/>
      <x:c r="C1" s="5"/>
      <x:c r="D1" s="5"/>
      <x:c r="E1" s="5"/>
    </x:row>
    <x:row r="2" ht="22" customHeight="1">
      <x:c r="A2" s="86" t="str">
        <x:v>Use Microsoft Learn as the source of truth. Re-check volatile connector capabilities, limits, pricing, preview status and retirement dates before interviews or production decisions.</x:v>
      </x:c>
      <x:c r="B2" s="86"/>
      <x:c r="C2" s="86"/>
      <x:c r="D2" s="86"/>
      <x:c r="E2" s="86"/>
    </x:row>
    <x:row r="3" ht="22" customHeight="1"/>
    <x:row r="4" ht="22" customHeight="1">
      <x:c r="A4" s="29" t="str">
        <x:v>Resource</x:v>
      </x:c>
      <x:c r="B4" s="29" t="str">
        <x:v>Where It Helps</x:v>
      </x:c>
      <x:c r="C4" s="29" t="str">
        <x:v>How to Use</x:v>
      </x:c>
      <x:c r="D4" s="29" t="str">
        <x:v>Freshness Risk</x:v>
      </x:c>
      <x:c r="E4" s="29" t="str">
        <x:v>URL</x:v>
      </x:c>
    </x:row>
    <x:row r="5" ht="42" customHeight="1">
      <x:c r="A5" s="36" t="str">
        <x:v>ADF overview</x:v>
      </x:c>
      <x:c r="B5" s="36" t="str">
        <x:v>Service model, concepts and role in Azure data integration</x:v>
      </x:c>
      <x:c r="C5" s="36" t="str">
        <x:v>Read first for vocabulary and architecture framing.</x:v>
      </x:c>
      <x:c r="D5" s="36" t="str">
        <x:v>Low</x:v>
      </x:c>
      <x:c r="E5" s="36" t="str">
        <x:v>https://learn.microsoft.com/en-us/azure/data-factory/</x:v>
      </x:c>
    </x:row>
    <x:row r="6" ht="42" customHeight="1">
      <x:c r="A6" s="36" t="str">
        <x:v>Pipelines &amp; activities</x:v>
      </x:c>
      <x:c r="B6" s="36" t="str">
        <x:v>Activity categories, dependencies, defaults and limits</x:v>
      </x:c>
      <x:c r="C6" s="36" t="str">
        <x:v>Use as the core control-flow reference.</x:v>
      </x:c>
      <x:c r="D6" s="36" t="str">
        <x:v>Medium</x:v>
      </x:c>
      <x:c r="E6" s="36" t="str">
        <x:v>https://learn.microsoft.com/en-us/azure/data-factory/concepts-pipelines-activities</x:v>
      </x:c>
    </x:row>
    <x:row r="7" ht="42" customHeight="1">
      <x:c r="A7" s="36" t="str">
        <x:v>Parameters &amp; variables</x:v>
      </x:c>
      <x:c r="B7" s="36" t="str">
        <x:v>Parameterization, variables and dynamic reuse</x:v>
      </x:c>
      <x:c r="C7" s="36" t="str">
        <x:v>Use when designing reusable pipelines.</x:v>
      </x:c>
      <x:c r="D7" s="36" t="str">
        <x:v>Medium</x:v>
      </x:c>
      <x:c r="E7" s="36" t="str">
        <x:v>https://learn.microsoft.com/en-us/azure/data-factory/concepts-parameters-variables</x:v>
      </x:c>
    </x:row>
    <x:row r="8" ht="42" customHeight="1">
      <x:c r="A8" s="36" t="str">
        <x:v>Integration Runtime</x:v>
      </x:c>
      <x:c r="B8" s="36" t="str">
        <x:v>Azure IR, SHIR, Azure-SSIS and connectivity</x:v>
      </x:c>
      <x:c r="C8" s="36" t="str">
        <x:v>Use before choosing network topology.</x:v>
      </x:c>
      <x:c r="D8" s="36" t="str">
        <x:v>High</x:v>
      </x:c>
      <x:c r="E8" s="36" t="str">
        <x:v>https://learn.microsoft.com/en-us/azure/data-factory/choose-the-right-integration-runtime-configuration</x:v>
      </x:c>
    </x:row>
    <x:row r="9" ht="42" customHeight="1">
      <x:c r="A9" s="36" t="str">
        <x:v>Managed VNet / private endpoint</x:v>
      </x:c>
      <x:c r="B9" s="36" t="str">
        <x:v>Private connectivity and managed network concepts</x:v>
      </x:c>
      <x:c r="C9" s="36" t="str">
        <x:v>Use for enterprise networking decisions.</x:v>
      </x:c>
      <x:c r="D9" s="36" t="str">
        <x:v>High</x:v>
      </x:c>
      <x:c r="E9" s="36" t="str">
        <x:v>https://learn.microsoft.com/en-us/azure/data-factory/managed-virtual-network-private-endpoint</x:v>
      </x:c>
    </x:row>
    <x:row r="10" ht="42" customHeight="1">
      <x:c r="A10" s="36" t="str">
        <x:v>Copy Activity</x:v>
      </x:c>
      <x:c r="B10" s="36" t="str">
        <x:v>Movement, mapping, formats, fault tolerance and resume</x:v>
      </x:c>
      <x:c r="C10" s="36" t="str">
        <x:v>Use as the primary Copy reference.</x:v>
      </x:c>
      <x:c r="D10" s="36" t="str">
        <x:v>High</x:v>
      </x:c>
      <x:c r="E10" s="36" t="str">
        <x:v>https://learn.microsoft.com/en-us/azure/data-factory/copy-activity-overview</x:v>
      </x:c>
    </x:row>
    <x:row r="11" ht="42" customHeight="1">
      <x:c r="A11" s="36" t="str">
        <x:v>Data consistency</x:v>
      </x:c>
      <x:c r="B11" s="36" t="str">
        <x:v>What Copy verification does and does not prove</x:v>
      </x:c>
      <x:c r="C11" s="36" t="str">
        <x:v>Use for migration acceptance design.</x:v>
      </x:c>
      <x:c r="D11" s="36" t="str">
        <x:v>Medium</x:v>
      </x:c>
      <x:c r="E11" s="36" t="str">
        <x:v>https://learn.microsoft.com/en-us/azure/data-factory/copy-activity-data-consistency</x:v>
      </x:c>
    </x:row>
    <x:row r="12" ht="42" customHeight="1">
      <x:c r="A12" s="36" t="str">
        <x:v>Incremental copy</x:v>
      </x:c>
      <x:c r="B12" s="36" t="str">
        <x:v>Watermark and delta-load patterns</x:v>
      </x:c>
      <x:c r="C12" s="36" t="str">
        <x:v>Use for incremental-load design.</x:v>
      </x:c>
      <x:c r="D12" s="36" t="str">
        <x:v>Medium</x:v>
      </x:c>
      <x:c r="E12" s="36" t="str">
        <x:v>https://learn.microsoft.com/en-us/azure/data-factory/tutorial-incremental-copy-overview</x:v>
      </x:c>
    </x:row>
    <x:row r="13" ht="42" customHeight="1">
      <x:c r="A13" s="36" t="str">
        <x:v>CDC</x:v>
      </x:c>
      <x:c r="B13" s="36" t="str">
        <x:v>Change capture and checkpoint semantics</x:v>
      </x:c>
      <x:c r="C13" s="36" t="str">
        <x:v>Re-check current behavior because Microsoft pages may differ.</x:v>
      </x:c>
      <x:c r="D13" s="36" t="str">
        <x:v>High</x:v>
      </x:c>
      <x:c r="E13" s="36" t="str">
        <x:v>https://learn.microsoft.com/en-us/azure/data-factory/concepts-change-data-capture</x:v>
      </x:c>
    </x:row>
    <x:row r="14" ht="42" customHeight="1">
      <x:c r="A14" s="36" t="str">
        <x:v>Mapping Data Flow</x:v>
      </x:c>
      <x:c r="B14" s="36" t="str">
        <x:v>Visual Spark-based transformation</x:v>
      </x:c>
      <x:c r="C14" s="36" t="str">
        <x:v>Use for Data Flow fundamentals and design.</x:v>
      </x:c>
      <x:c r="D14" s="36" t="str">
        <x:v>Medium</x:v>
      </x:c>
      <x:c r="E14" s="36" t="str">
        <x:v>https://learn.microsoft.com/en-us/azure/data-factory/concepts-data-flow-overview</x:v>
      </x:c>
    </x:row>
    <x:row r="15" ht="42" customHeight="1">
      <x:c r="A15" s="36" t="str">
        <x:v>Data Flow performance</x:v>
      </x:c>
      <x:c r="B15" s="36" t="str">
        <x:v>Cluster, partitioning and performance tuning</x:v>
      </x:c>
      <x:c r="C15" s="36" t="str">
        <x:v>Use when explaining bottleneck diagnosis.</x:v>
      </x:c>
      <x:c r="D15" s="36" t="str">
        <x:v>High</x:v>
      </x:c>
      <x:c r="E15" s="36" t="str">
        <x:v>https://learn.microsoft.com/en-us/azure/data-factory/concepts-data-flow-performance</x:v>
      </x:c>
    </x:row>
    <x:row r="16" ht="42" customHeight="1">
      <x:c r="A16" s="36" t="str">
        <x:v>Key Vault / credentials</x:v>
      </x:c>
      <x:c r="B16" s="36" t="str">
        <x:v>Managed identity and secret handling</x:v>
      </x:c>
      <x:c r="C16" s="36" t="str">
        <x:v>Use as the enterprise security baseline.</x:v>
      </x:c>
      <x:c r="D16" s="36" t="str">
        <x:v>High</x:v>
      </x:c>
      <x:c r="E16" s="36" t="str">
        <x:v>https://learn.microsoft.com/en-us/azure/data-factory/credentials</x:v>
      </x:c>
    </x:row>
    <x:row r="17" ht="42" customHeight="1">
      <x:c r="A17" s="36" t="str">
        <x:v>Customer-managed key</x:v>
      </x:c>
      <x:c r="B17" s="36" t="str">
        <x:v>CMK prerequisites and lifecycle</x:v>
      </x:c>
      <x:c r="C17" s="36" t="str">
        <x:v>Use only after checking current limitations.</x:v>
      </x:c>
      <x:c r="D17" s="36" t="str">
        <x:v>High</x:v>
      </x:c>
      <x:c r="E17" s="36" t="str">
        <x:v>https://learn.microsoft.com/en-us/azure/data-factory/enable-customer-managed-key</x:v>
      </x:c>
    </x:row>
    <x:row r="18" ht="42" customHeight="1">
      <x:c r="A18" s="36" t="str">
        <x:v>Trusted Service</x:v>
      </x:c>
      <x:c r="B18" s="36" t="str">
        <x:v>Legacy vs Modern trust model</x:v>
      </x:c>
      <x:c r="C18" s="36" t="str">
        <x:v>Re-check retirement timeline before deployment.</x:v>
      </x:c>
      <x:c r="D18" s="36" t="str">
        <x:v>High</x:v>
      </x:c>
      <x:c r="E18" s="36" t="str">
        <x:v>https://learn.microsoft.com/en-us/azure/data-factory/modern-trusted-service</x:v>
      </x:c>
    </x:row>
    <x:row r="19" ht="42" customHeight="1">
      <x:c r="A19" s="36" t="str">
        <x:v>Monitoring</x:v>
      </x:c>
      <x:c r="B19" s="36" t="str">
        <x:v>Runs, alerts, diagnostics and operations</x:v>
      </x:c>
      <x:c r="C19" s="36" t="str">
        <x:v>Use for production operating model.</x:v>
      </x:c>
      <x:c r="D19" s="36" t="str">
        <x:v>Medium</x:v>
      </x:c>
      <x:c r="E19" s="36" t="str">
        <x:v>https://learn.microsoft.com/en-us/azure/data-factory/monitor-data-factory</x:v>
      </x:c>
    </x:row>
    <x:row r="20" ht="42" customHeight="1">
      <x:c r="A20" s="36" t="str">
        <x:v>CI/CD improvements</x:v>
      </x:c>
      <x:c r="B20" s="36" t="str">
        <x:v>ARM template generation, automated publishing and release patterns</x:v>
      </x:c>
      <x:c r="C20" s="36" t="str">
        <x:v>Use for modern Dev→Test→Prod design.</x:v>
      </x:c>
      <x:c r="D20" s="36" t="str">
        <x:v>High</x:v>
      </x:c>
      <x:c r="E20" s="36" t="str">
        <x:v>https://learn.microsoft.com/en-us/azure/data-factory/continuous-integration-delivery-improvements</x:v>
      </x:c>
    </x:row>
    <x:row r="21" ht="42" customHeight="1">
      <x:c r="A21" s="36" t="str">
        <x:v>Bicep quickstart</x:v>
      </x:c>
      <x:c r="B21" s="36" t="str">
        <x:v>IaC for Data Factory resources</x:v>
      </x:c>
      <x:c r="C21" s="36" t="str">
        <x:v>Use as infrastructure-provisioning reference.</x:v>
      </x:c>
      <x:c r="D21" s="36" t="str">
        <x:v>Medium</x:v>
      </x:c>
      <x:c r="E21" s="36" t="str">
        <x:v>https://learn.microsoft.com/en-us/azure/data-factory/quickstart-create-data-factory-bicep</x:v>
      </x:c>
    </x:row>
    <x:row r="22" ht="42" customHeight="1">
      <x:c r="A22" s="36" t="str">
        <x:v>Reliability</x:v>
      </x:c>
      <x:c r="B22" s="36" t="str">
        <x:v>Retry, idempotency, zone/region considerations</x:v>
      </x:c>
      <x:c r="C22" s="36" t="str">
        <x:v>Use for incident/recovery architecture.</x:v>
      </x:c>
      <x:c r="D22" s="36" t="str">
        <x:v>High</x:v>
      </x:c>
      <x:c r="E22" s="36" t="str">
        <x:v>https://learn.microsoft.com/en-us/azure/reliability/reliability-data-factory</x:v>
      </x:c>
    </x:row>
    <x:row r="23" ht="42" customHeight="1">
      <x:c r="A23" s="36" t="str">
        <x:v>Databricks Notebook activity</x:v>
      </x:c>
      <x:c r="B23" s="36" t="str">
        <x:v>ADF→Databricks orchestration</x:v>
      </x:c>
      <x:c r="C23" s="36" t="str">
        <x:v>Use for Azure Databricks integration design.</x:v>
      </x:c>
      <x:c r="D23" s="36" t="str">
        <x:v>Medium</x:v>
      </x:c>
      <x:c r="E23" s="36" t="str">
        <x:v>https://learn.microsoft.com/en-us/azure/data-factory/transform-data-databricks-notebook</x:v>
      </x:c>
    </x:row>
    <x:row r="24" ht="42" customHeight="1">
      <x:c r="A24" s="36" t="str">
        <x:v>ADF vs Fabric Data Factory</x:v>
      </x:c>
      <x:c r="B24" s="36" t="str">
        <x:v>Current platform direction and comparison</x:v>
      </x:c>
      <x:c r="C24" s="36" t="str">
        <x:v>Use before any ADF-vs-Fabric interview discussion.</x:v>
      </x:c>
      <x:c r="D24" s="36" t="str">
        <x:v>High</x:v>
      </x:c>
      <x:c r="E24" s="36" t="str">
        <x:v>https://learn.microsoft.com/en-us/fabric/data-factory/compare-fabric-data-factory-and-azure-data-factory</x:v>
      </x:c>
    </x:row>
  </x:sheetData>
  <x:mergeCells>
    <x:mergeCell ref="A1:E1"/>
    <x:mergeCell ref="A2:E2"/>
  </x:mergeCells>
  <x:conditionalFormatting sqref="D5:D24">
    <x:cfRule type="expression" dxfId="3" priority="1">
      <x:formula>D5="High"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275edfeadf43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6" hidden="0" customWidth="1"/>
  </x:cols>
  <x:sheetData>
    <x:row r="1" ht="22" customHeight="1">
      <x:c r="A1" s="5" t="str">
        <x:v>ADF Interview Mental Model</x:v>
      </x:c>
      <x:c r="B1" s="5"/>
      <x:c r="C1" s="5"/>
    </x:row>
    <x:row r="2" ht="22" customHeight="1"/>
    <x:row r="3" ht="22" customHeight="1">
      <x:c r="A3" s="29" t="str">
        <x:v>Concept</x:v>
      </x:c>
      <x:c r="B3" s="29" t="str">
        <x:v>Mental Model</x:v>
      </x:c>
      <x:c r="C3" s="29" t="str">
        <x:v>Interview Question to Ask Yourself</x:v>
      </x:c>
    </x:row>
    <x:row r="4" ht="40" customHeight="1">
      <x:c r="A4" s="36" t="str">
        <x:v>ADF</x:v>
      </x:c>
      <x:c r="B4" s="36" t="str">
        <x:v>Conductor + data movement service; transformation often happens elsewhere.</x:v>
      </x:c>
      <x:c r="C4" s="36" t="str">
        <x:v>What is ADF orchestrating, and what service is doing the heavy work?</x:v>
      </x:c>
    </x:row>
    <x:row r="5" ht="40" customHeight="1">
      <x:c r="A5" s="36" t="str">
        <x:v>Pipeline</x:v>
      </x:c>
      <x:c r="B5" s="36" t="str">
        <x:v>Reusable workflow definition.</x:v>
      </x:c>
      <x:c r="C5" s="36" t="str">
        <x:v>What is the business job this pipeline owns?</x:v>
      </x:c>
    </x:row>
    <x:row r="6" ht="40" customHeight="1">
      <x:c r="A6" s="36" t="str">
        <x:v>Activity</x:v>
      </x:c>
      <x:c r="B6" s="36" t="str">
        <x:v>One executable/control step.</x:v>
      </x:c>
      <x:c r="C6" s="36" t="str">
        <x:v>What exactly executes here and where?</x:v>
      </x:c>
    </x:row>
    <x:row r="7" ht="40" customHeight="1">
      <x:c r="A7" s="36" t="str">
        <x:v>Linked service</x:v>
      </x:c>
      <x:c r="B7" s="36" t="str">
        <x:v>How ADF connects/authenticates.</x:v>
      </x:c>
      <x:c r="C7" s="36" t="str">
        <x:v>Who owns the credential and network path?</x:v>
      </x:c>
    </x:row>
    <x:row r="8" ht="40" customHeight="1">
      <x:c r="A8" s="36" t="str">
        <x:v>Dataset</x:v>
      </x:c>
      <x:c r="B8" s="36" t="str">
        <x:v>What data shape/location the activity works with.</x:v>
      </x:c>
      <x:c r="C8" s="36" t="str">
        <x:v>Can this be parameterised or should it be dynamic?</x:v>
      </x:c>
    </x:row>
    <x:row r="9" ht="40" customHeight="1">
      <x:c r="A9" s="36" t="str">
        <x:v>Integration Runtime</x:v>
      </x:c>
      <x:c r="B9" s="36" t="str">
        <x:v>Where the movement/data-flow execution happens and what network it can reach.</x:v>
      </x:c>
      <x:c r="C9" s="36" t="str">
        <x:v>Why this IR, and who operates it?</x:v>
      </x:c>
    </x:row>
    <x:row r="10" ht="40" customHeight="1">
      <x:c r="A10" s="36" t="str">
        <x:v>Trigger</x:v>
      </x:c>
      <x:c r="B10" s="36" t="str">
        <x:v>The condition that starts the pipeline.</x:v>
      </x:c>
      <x:c r="C10" s="36" t="str">
        <x:v>Is time, data arrival, or another event the real trigger?</x:v>
      </x:c>
    </x:row>
    <x:row r="11" ht="40" customHeight="1">
      <x:c r="A11" s="36" t="str">
        <x:v>Schedule vs Tumbling Window</x:v>
      </x:c>
      <x:c r="B11" s="36" t="str">
        <x:v>Clock-based schedule vs stateful time-window processing.</x:v>
      </x:c>
      <x:c r="C11" s="36" t="str">
        <x:v>Do I need backfill and window state?</x:v>
      </x:c>
    </x:row>
    <x:row r="12" ht="40" customHeight="1">
      <x:c r="A12" s="36" t="str">
        <x:v>Parameter</x:v>
      </x:c>
      <x:c r="B12" s="36" t="str">
        <x:v>Read-only input for a run.</x:v>
      </x:c>
      <x:c r="C12" s="36" t="str">
        <x:v>Should this vary by invocation/environment?</x:v>
      </x:c>
    </x:row>
    <x:row r="13" ht="40" customHeight="1">
      <x:c r="A13" s="36" t="str">
        <x:v>Variable</x:v>
      </x:c>
      <x:c r="B13" s="36" t="str">
        <x:v>Mutable scratch state within pipeline execution.</x:v>
      </x:c>
      <x:c r="C13" s="36" t="str">
        <x:v>Could parallelism make this unsafe?</x:v>
      </x:c>
    </x:row>
    <x:row r="14" ht="40" customHeight="1">
      <x:c r="A14" s="36" t="str">
        <x:v>Watermark</x:v>
      </x:c>
      <x:c r="B14" s="36" t="str">
        <x:v>High-water mark for new/changed records.</x:v>
      </x:c>
      <x:c r="C14" s="36" t="str">
        <x:v>Can the source expose all changes I need, including deletes?</x:v>
      </x:c>
    </x:row>
    <x:row r="15" ht="40" customHeight="1">
      <x:c r="A15" s="36" t="str">
        <x:v>CDC</x:v>
      </x:c>
      <x:c r="B15" s="36" t="str">
        <x:v>Change-log driven incremental processing.</x:v>
      </x:c>
      <x:c r="C15" s="36" t="str">
        <x:v>What source capability guarantees completeness?</x:v>
      </x:c>
    </x:row>
    <x:row r="16" ht="40" customHeight="1">
      <x:c r="A16" s="36" t="str">
        <x:v>Metadata-driven</x:v>
      </x:c>
      <x:c r="B16" s="36" t="str">
        <x:v>One reusable pipeline driven by control metadata.</x:v>
      </x:c>
      <x:c r="C16" s="36" t="str">
        <x:v>Am I standardising a pattern or creating a framework nobody owns?</x:v>
      </x:c>
    </x:row>
    <x:row r="17" ht="40" customHeight="1">
      <x:c r="A17" s="36" t="str">
        <x:v>Idempotency</x:v>
      </x:c>
      <x:c r="B17" s="36" t="str">
        <x:v>Repeat execution has the same business effect as one execution.</x:v>
      </x:c>
      <x:c r="C17" s="36" t="str">
        <x:v>Can I safely rerun this after failure?</x:v>
      </x:c>
    </x:row>
    <x:row r="18" ht="40" customHeight="1">
      <x:c r="A18" s="36" t="str">
        <x:v>Reconciliation</x:v>
      </x:c>
      <x:c r="B18" s="36" t="str">
        <x:v>Evidence that data is complete and correct beyond run status.</x:v>
      </x:c>
      <x:c r="C18" s="36" t="str">
        <x:v>What proves the business data is right?</x:v>
      </x:c>
    </x:row>
    <x:row r="19" ht="40" customHeight="1">
      <x:c r="A19" s="36" t="str">
        <x:v>Managed VNet</x:v>
      </x:c>
      <x:c r="B19" s="36" t="str">
        <x:v>Managed network isolation around Azure IR.</x:v>
      </x:c>
      <x:c r="C19" s="36" t="str">
        <x:v>What is private, what remains public, and what approvals are required?</x:v>
      </x:c>
    </x:row>
    <x:row r="20" ht="40" customHeight="1">
      <x:c r="A20" s="36" t="str">
        <x:v>Key Vault / Managed Identity</x:v>
      </x:c>
      <x:c r="B20" s="36" t="str">
        <x:v>Keep secrets out of code and use workload identity where supported.</x:v>
      </x:c>
      <x:c r="C20" s="36" t="str">
        <x:v>Where is the credential, and what happens on rotation?</x:v>
      </x:c>
    </x:row>
    <x:row r="21" ht="40" customHeight="1">
      <x:c r="A21" s="36" t="str">
        <x:v>CI/CD</x:v>
      </x:c>
      <x:c r="B21" s="36" t="str">
        <x:v>Repeatable, auditable promotion of factory definitions and infrastructure.</x:v>
      </x:c>
      <x:c r="C21" s="36" t="str">
        <x:v>Which parts are Microsoft behavior and which are our deployment policy?</x:v>
      </x:c>
    </x:row>
    <x:row r="22" ht="40" customHeight="1">
      <x:c r="A22" s="36" t="str">
        <x:v>Monitoring</x:v>
      </x:c>
      <x:c r="B22" s="36" t="str">
        <x:v>Operational evidence, not just green/red.</x:v>
      </x:c>
      <x:c r="C22" s="36" t="str">
        <x:v>What would tell me the data is wrong even when the run is green?</x:v>
      </x:c>
    </x:row>
    <x:row r="23" ht="40" customHeight="1">
      <x:c r="A23" s="36" t="str">
        <x:v>Cost</x:v>
      </x:c>
      <x:c r="B23" s="36" t="str">
        <x:v>Every architecture choice has a cost driver.</x:v>
      </x:c>
      <x:c r="C23" s="36" t="str">
        <x:v>Which meter rises when I scale this design?</x:v>
      </x:c>
    </x:row>
    <x:row r="24" ht="40" customHeight="1">
      <x:c r="A24" s="36" t="str">
        <x:v>ADF vs Databricks</x:v>
      </x:c>
      <x:c r="B24" s="36" t="str">
        <x:v>Orchestration/integration vs code-heavy Spark processing.</x:v>
      </x:c>
      <x:c r="C24" s="36" t="str">
        <x:v>Why not do all of this in Databricks?</x:v>
      </x:c>
    </x:row>
    <x:row r="25" ht="40" customHeight="1">
      <x:c r="A25" s="36" t="str">
        <x:v>ADF vs Fabric Data Factory</x:v>
      </x:c>
      <x:c r="B25" s="36" t="str">
        <x:v>Azure PaaS estate vs Fabric-centric platform strategy.</x:v>
      </x:c>
      <x:c r="C25" s="36" t="str">
        <x:v>What does the target estate need today, not just what is newest?</x:v>
      </x:c>
    </x:row>
    <x:row r="26" ht="40" customHeight="1">
      <x:c r="A26" s="36" t="str">
        <x:v>Manager lens</x:v>
      </x:c>
      <x:c r="B26" s="36" t="str">
        <x:v>User impact, SLA, risk, ownership, recovery, cost and change governance.</x:v>
      </x:c>
      <x:c r="C26" s="36" t="str">
        <x:v>What would I ask the engineering team before approving this design?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6a82c7a47ed45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58" hidden="0" customWidth="1"/>
    <x:col min="7" max="7" width="22" hidden="0" customWidth="1"/>
    <x:col min="8" max="8" width="55" hidden="0" customWidth="1"/>
  </x:cols>
  <x:sheetData>
    <x:row r="1">
      <x:c r="A1" s="93" t="str">
        <x:v>Roadmap #</x:v>
      </x:c>
      <x:c r="B1" s="93" t="str">
        <x:v>Roadmap Topic</x:v>
      </x:c>
      <x:c r="C1" s="93" t="str">
        <x:v>Primary Study Guide Mapping</x:v>
      </x:c>
      <x:c r="D1" s="93" t="str">
        <x:v>Coverage</x:v>
      </x:c>
      <x:c r="E1" s="93" t="str">
        <x:v>What the Study Guide Currently Provides</x:v>
      </x:c>
      <x:c r="G1" s="95" t="str">
        <x:v>Coverage Summary</x:v>
      </x:c>
      <x:c r="H1" s="95" t="str">
        <x:v>Count</x:v>
      </x:c>
    </x:row>
    <x:row r="2">
      <x:c r="A2" s="34" t="n">
        <x:v>1</x:v>
      </x:c>
      <x:c r="B2" s="34" t="str">
        <x:v>What Azure Data Factory Is</x:v>
      </x:c>
      <x:c r="C2" s="34" t="str">
        <x:v>Ch 1 — What ADF is, and what it isn't</x:v>
      </x:c>
      <x:c r="D2" s="34" t="str">
        <x:v>Full</x:v>
      </x:c>
      <x:c r="E2" s="34" t="str">
        <x:v>Core definition, orchestration vs transformation, manager mental model.</x:v>
      </x:c>
      <x:c r="G2" s="34" t="str">
        <x:v>Full</x:v>
      </x:c>
      <x:c r="H2" s="34" t="n">
        <x:f>COUNTIF(D2:D61,"Full")</x:f>
        <x:v>51</x:v>
      </x:c>
    </x:row>
    <x:row r="3">
      <x:c r="A3" s="34" t="n">
        <x:v>2</x:v>
      </x:c>
      <x:c r="B3" s="34" t="str">
        <x:v>ADF vs Databricks vs Synapse vs Fabric Data Factory</x:v>
      </x:c>
      <x:c r="C3" s="34" t="str">
        <x:v>Ch 1; Ch 20 — ADF and Fabric Data Factory</x:v>
      </x:c>
      <x:c r="D3" s="34" t="str">
        <x:v>Partial</x:v>
      </x:c>
      <x:c r="E3" s="34" t="str">
        <x:v>ADF/Databricks/Synapse positioning is present; no single consolidated 4-service decision exercise.</x:v>
      </x:c>
      <x:c r="G3" s="34" t="str">
        <x:v>Partial</x:v>
      </x:c>
      <x:c r="H3" s="34" t="n">
        <x:f>COUNTIF(D2:D61,"Partial")</x:f>
        <x:v>9</x:v>
      </x:c>
    </x:row>
    <x:row r="4">
      <x:c r="A4" s="34" t="n">
        <x:v>3</x:v>
      </x:c>
      <x:c r="B4" s="34" t="str">
        <x:v>ADF Resource Model</x:v>
      </x:c>
      <x:c r="C4" s="34" t="str">
        <x:v>Ch 2 — The building blocks; Ch 3 — Pipelines, activities and control flow</x:v>
      </x:c>
      <x:c r="D4" s="34" t="str">
        <x:v>Full</x:v>
      </x:c>
      <x:c r="E4" s="34" t="str">
        <x:v>Factory resources, pipeline/activity/dataset/linked service/trigger/run relationships.</x:v>
      </x:c>
      <x:c r="G4" s="34" t="str">
        <x:v>Total Topics</x:v>
      </x:c>
      <x:c r="H4" s="34" t="n">
        <x:f>COUNTA(A2:A61)</x:f>
        <x:v>60</x:v>
      </x:c>
    </x:row>
    <x:row r="5">
      <x:c r="A5" s="34" t="n">
        <x:v>4</x:v>
      </x:c>
      <x:c r="B5" s="34" t="str">
        <x:v>ADF Mental Model for Managers</x:v>
      </x:c>
      <x:c r="C5" s="34" t="str">
        <x:v>Ch 1; Ch 21 — Pitfalls</x:v>
      </x:c>
      <x:c r="D5" s="34" t="str">
        <x:v>Full</x:v>
      </x:c>
      <x:c r="E5" s="34" t="str">
        <x:v>Manager lens, ownership/risk/SLA/cost framing.</x:v>
      </x:c>
      <x:c r="G5" s="34" t="str">
        <x:v>Full Coverage %</x:v>
      </x:c>
      <x:c r="H5" s="84" t="n">
        <x:f>H2/H4</x:f>
        <x:v>0.85</x:v>
      </x:c>
    </x:row>
    <x:row r="6">
      <x:c r="A6" s="34" t="n">
        <x:v>5</x:v>
      </x:c>
      <x:c r="B6" s="34" t="str">
        <x:v>Linked Services</x:v>
      </x:c>
      <x:c r="C6" s="34" t="str">
        <x:v>Ch 2 — The building blocks</x:v>
      </x:c>
      <x:c r="D6" s="34" t="str">
        <x:v>Full</x:v>
      </x:c>
      <x:c r="E6" s="34" t="str">
        <x:v>Connection/authentication/ConnectVia concepts.</x:v>
      </x:c>
      <x:c r="G6" s="34" t="str">
        <x:v>Mapping Purpose</x:v>
      </x:c>
      <x:c r="H6" s="34" t="str">
        <x:v>Bridge the roadmap's 60 topics to the actual Study Guide chapters/scenarios.</x:v>
      </x:c>
    </x:row>
    <x:row r="7">
      <x:c r="A7" s="34" t="n">
        <x:v>6</x:v>
      </x:c>
      <x:c r="B7" s="34" t="str">
        <x:v>Datasets and Parameterisation</x:v>
      </x:c>
      <x:c r="C7" s="34" t="str">
        <x:v>Ch 2; Ch 3</x:v>
      </x:c>
      <x:c r="D7" s="34" t="str">
        <x:v>Full</x:v>
      </x:c>
      <x:c r="E7" s="34" t="str">
        <x:v>Datasets, parameterization, reusable source/sink definitions.</x:v>
      </x:c>
    </x:row>
    <x:row r="8">
      <x:c r="A8" s="34" t="n">
        <x:v>7</x:v>
      </x:c>
      <x:c r="B8" s="34" t="str">
        <x:v>Pipeline Parameters, Variables and Expressions</x:v>
      </x:c>
      <x:c r="C8" s="34" t="str">
        <x:v>Ch 3 — Pipelines, activities and control flow</x:v>
      </x:c>
      <x:c r="D8" s="34" t="str">
        <x:v>Full</x:v>
      </x:c>
      <x:c r="E8" s="34" t="str">
        <x:v>Parameters, variables, expressions, dynamic execution.</x:v>
      </x:c>
      <x:c r="G8" s="97" t="str">
        <x:v>Important alignment gaps</x:v>
      </x:c>
      <x:c r="H8" s="97" t="str"/>
    </x:row>
    <x:row r="9">
      <x:c r="A9" s="34" t="n">
        <x:v>8</x:v>
      </x:c>
      <x:c r="B9" s="34" t="str">
        <x:v>Global Parameters and Reusable Configuration</x:v>
      </x:c>
      <x:c r="C9" s="34" t="str">
        <x:v>Ch 18 — From Dev to Prod; Ch 2</x:v>
      </x:c>
      <x:c r="D9" s="34" t="str">
        <x:v>Full</x:v>
      </x:c>
      <x:c r="E9" s="34" t="str">
        <x:v>Environment configuration and global parameter concepts.</x:v>
      </x:c>
      <x:c r="G9" s="34" t="str">
        <x:v>Topic 15</x:v>
      </x:c>
      <x:c r="H9" s="34" t="str">
        <x:v>Needs dedicated Web/Function/Script/Stored Procedure decision exercise.</x:v>
      </x:c>
    </x:row>
    <x:row r="10">
      <x:c r="A10" s="34" t="n">
        <x:v>9</x:v>
      </x:c>
      <x:c r="B10" s="34" t="str">
        <x:v>Activity Types and Execution Semantics</x:v>
      </x:c>
      <x:c r="C10" s="34" t="str">
        <x:v>Ch 3</x:v>
      </x:c>
      <x:c r="D10" s="34" t="str">
        <x:v>Full</x:v>
      </x:c>
      <x:c r="E10" s="34" t="str">
        <x:v>Movement/transformation/control categories and execution semantics.</x:v>
      </x:c>
      <x:c r="G10" s="34" t="str">
        <x:v>Topic 35</x:v>
      </x:c>
      <x:c r="H10" s="34" t="str">
        <x:v>Needs consolidated metadata-driven pipeline design lesson.</x:v>
      </x:c>
    </x:row>
    <x:row r="11">
      <x:c r="A11" s="34" t="n">
        <x:v>10</x:v>
      </x:c>
      <x:c r="B11" s="34" t="str">
        <x:v>Dependencies: Success, Failure, Completion and Skip</x:v>
      </x:c>
      <x:c r="C11" s="34" t="str">
        <x:v>Ch 3; Ch 12 — Monitoring, failures and reruns</x:v>
      </x:c>
      <x:c r="D11" s="34" t="str">
        <x:v>Full</x:v>
      </x:c>
      <x:c r="E11" s="34" t="str">
        <x:v>Dependency conditions and final pipeline-status behavior.</x:v>
      </x:c>
      <x:c r="G11" s="34" t="str">
        <x:v>Topics 48 / 56</x:v>
      </x:c>
      <x:c r="H11" s="34" t="str">
        <x:v>Bicep and Synapse need dedicated study-guide depth.</x:v>
      </x:c>
    </x:row>
    <x:row r="12">
      <x:c r="A12" s="34" t="n">
        <x:v>11</x:v>
      </x:c>
      <x:c r="B12" s="34" t="str">
        <x:v>Lookup and Get Metadata</x:v>
      </x:c>
      <x:c r="C12" s="34" t="str">
        <x:v>Ch 3</x:v>
      </x:c>
      <x:c r="D12" s="34" t="str">
        <x:v>Full</x:v>
      </x:c>
      <x:c r="E12" s="34" t="str">
        <x:v>Lookup limits/control-table patterns; Get Metadata is covered at reference level.</x:v>
      </x:c>
      <x:c r="G12" s="34" t="str">
        <x:v>Topics 53 / 54 / 58 / 60</x:v>
      </x:c>
      <x:c r="H12" s="34" t="str">
        <x:v>Need consolidated architecture exercises/capstone, not just distributed chapter references.</x:v>
      </x:c>
    </x:row>
    <x:row r="13">
      <x:c r="A13" s="34" t="n">
        <x:v>12</x:v>
      </x:c>
      <x:c r="B13" s="34" t="str">
        <x:v>ForEach, Batch Count and Parallelism</x:v>
      </x:c>
      <x:c r="C13" s="34" t="str">
        <x:v>Ch 3</x:v>
      </x:c>
      <x:c r="D13" s="34" t="str">
        <x:v>Full</x:v>
      </x:c>
      <x:c r="E13" s="34" t="str">
        <x:v>Parallelism, batch count, variables in loops, nesting constraints.</x:v>
      </x:c>
    </x:row>
    <x:row r="14">
      <x:c r="A14" s="34" t="n">
        <x:v>13</x:v>
      </x:c>
      <x:c r="B14" s="34" t="str">
        <x:v>If Condition, Switch, Until and Wait</x:v>
      </x:c>
      <x:c r="C14" s="34" t="str">
        <x:v>Ch 3</x:v>
      </x:c>
      <x:c r="D14" s="34" t="str">
        <x:v>Full</x:v>
      </x:c>
      <x:c r="E14" s="34" t="str">
        <x:v>Branching, polling, loops and waits.</x:v>
      </x:c>
    </x:row>
    <x:row r="15">
      <x:c r="A15" s="34" t="n">
        <x:v>14</x:v>
      </x:c>
      <x:c r="B15" s="34" t="str">
        <x:v>Execute Pipeline and Reusable Child Pipelines</x:v>
      </x:c>
      <x:c r="C15" s="34" t="str">
        <x:v>Ch 3</x:v>
      </x:c>
      <x:c r="D15" s="34" t="str">
        <x:v>Full</x:v>
      </x:c>
      <x:c r="E15" s="34" t="str">
        <x:v>Parent/child composition and reuse.</x:v>
      </x:c>
    </x:row>
    <x:row r="16">
      <x:c r="A16" s="34" t="n">
        <x:v>15</x:v>
      </x:c>
      <x:c r="B16" s="34" t="str">
        <x:v>Web, Function, Script and Stored Procedure Integration</x:v>
      </x:c>
      <x:c r="C16" s="34" t="str">
        <x:v>Ch 3</x:v>
      </x:c>
      <x:c r="D16" s="34" t="str">
        <x:v>Partial</x:v>
      </x:c>
      <x:c r="E16" s="34" t="str">
        <x:v>Activities are introduced, but the roadmap's explicit decision table/trade-off exercise is not a dedicated study-guide block.</x:v>
      </x:c>
    </x:row>
    <x:row r="17">
      <x:c r="A17" s="34" t="n">
        <x:v>16</x:v>
      </x:c>
      <x:c r="B17" s="34" t="str">
        <x:v>Schedule Triggers</x:v>
      </x:c>
      <x:c r="C17" s="34" t="str">
        <x:v>Ch 5 — Triggers: when pipelines run</x:v>
      </x:c>
      <x:c r="D17" s="34" t="str">
        <x:v>Full</x:v>
      </x:c>
      <x:c r="E17" s="34" t="str">
        <x:v>Schedule behavior and operational implications.</x:v>
      </x:c>
    </x:row>
    <x:row r="18">
      <x:c r="A18" s="34" t="n">
        <x:v>17</x:v>
      </x:c>
      <x:c r="B18" s="34" t="str">
        <x:v>Tumbling Window Triggers</x:v>
      </x:c>
      <x:c r="C18" s="34" t="str">
        <x:v>Ch 5</x:v>
      </x:c>
      <x:c r="D18" s="34" t="str">
        <x:v>Full</x:v>
      </x:c>
      <x:c r="E18" s="34" t="str">
        <x:v>State, backfill, delay, concurrency, dependencies.</x:v>
      </x:c>
    </x:row>
    <x:row r="19">
      <x:c r="A19" s="34" t="n">
        <x:v>18</x:v>
      </x:c>
      <x:c r="B19" s="34" t="str">
        <x:v>Event and Custom Event Triggers</x:v>
      </x:c>
      <x:c r="C19" s="34" t="str">
        <x:v>Ch 5</x:v>
      </x:c>
      <x:c r="D19" s="34" t="str">
        <x:v>Full</x:v>
      </x:c>
      <x:c r="E19" s="34" t="str">
        <x:v>Storage and custom event triggers, including filtering/caveats.</x:v>
      </x:c>
    </x:row>
    <x:row r="20">
      <x:c r="A20" s="34" t="n">
        <x:v>19</x:v>
      </x:c>
      <x:c r="B20" s="34" t="str">
        <x:v>Time Zones and Window Semantics</x:v>
      </x:c>
      <x:c r="C20" s="34" t="str">
        <x:v>Ch 5</x:v>
      </x:c>
      <x:c r="D20" s="34" t="str">
        <x:v>Full</x:v>
      </x:c>
      <x:c r="E20" s="34" t="str">
        <x:v>UTC, DST and window boundaries.</x:v>
      </x:c>
    </x:row>
    <x:row r="21">
      <x:c r="A21" s="34" t="n">
        <x:v>20</x:v>
      </x:c>
      <x:c r="B21" s="34" t="str">
        <x:v>Integration Runtime Fundamentals</x:v>
      </x:c>
      <x:c r="C21" s="34" t="str">
        <x:v>Ch 4 — Integration runtimes</x:v>
      </x:c>
      <x:c r="D21" s="34" t="str">
        <x:v>Full</x:v>
      </x:c>
      <x:c r="E21" s="34" t="str">
        <x:v>Three IR families and selection model.</x:v>
      </x:c>
    </x:row>
    <x:row r="22">
      <x:c r="A22" s="34" t="n">
        <x:v>21</x:v>
      </x:c>
      <x:c r="B22" s="34" t="str">
        <x:v>Self-hosted IR Architecture and Operations</x:v>
      </x:c>
      <x:c r="C22" s="34" t="str">
        <x:v>Ch 4; Scenario 3</x:v>
      </x:c>
      <x:c r="D22" s="34" t="str">
        <x:v>Full</x:v>
      </x:c>
      <x:c r="E22" s="34" t="str">
        <x:v>Network path, HA, ownership, patching, proxy/credential concerns.</x:v>
      </x:c>
    </x:row>
    <x:row r="23">
      <x:c r="A23" s="34" t="n">
        <x:v>22</x:v>
      </x:c>
      <x:c r="B23" s="34" t="str">
        <x:v>Managed VNet and Managed Private Endpoints</x:v>
      </x:c>
      <x:c r="C23" s="34" t="str">
        <x:v>Ch 4; Ch 14 — Security and networking</x:v>
      </x:c>
      <x:c r="D23" s="34" t="str">
        <x:v>Full</x:v>
      </x:c>
      <x:c r="E23" s="34" t="str">
        <x:v>Managed VNet, managed private endpoints and factory private endpoint distinction.</x:v>
      </x:c>
    </x:row>
    <x:row r="24">
      <x:c r="A24" s="34" t="n">
        <x:v>23</x:v>
      </x:c>
      <x:c r="B24" s="34" t="str">
        <x:v>On-premises Connectivity and Network Paths</x:v>
      </x:c>
      <x:c r="C24" s="34" t="str">
        <x:v>Ch 4</x:v>
      </x:c>
      <x:c r="D24" s="34" t="str">
        <x:v>Full</x:v>
      </x:c>
      <x:c r="E24" s="34" t="str">
        <x:v>SHIR, VPN/ExpressRoute, Private Link and firewall/network-path nuance.</x:v>
      </x:c>
    </x:row>
    <x:row r="25">
      <x:c r="A25" s="34" t="n">
        <x:v>24</x:v>
      </x:c>
      <x:c r="B25" s="34" t="str">
        <x:v>Private Endpoint vs Managed Private Endpoint</x:v>
      </x:c>
      <x:c r="C25" s="34" t="str">
        <x:v>Ch 4; Ch 14</x:v>
      </x:c>
      <x:c r="D25" s="34" t="str">
        <x:v>Full</x:v>
      </x:c>
      <x:c r="E25" s="34" t="str">
        <x:v>Separate factory-service private endpoint from managed private endpoints to targets.</x:v>
      </x:c>
    </x:row>
    <x:row r="26">
      <x:c r="A26" s="34" t="n">
        <x:v>25</x:v>
      </x:c>
      <x:c r="B26" s="34" t="str">
        <x:v>Copy Activity Fundamentals</x:v>
      </x:c>
      <x:c r="C26" s="34" t="str">
        <x:v>Ch 6 — The Copy activity</x:v>
      </x:c>
      <x:c r="D26" s="34" t="str">
        <x:v>Full</x:v>
      </x:c>
      <x:c r="E26" s="34" t="str">
        <x:v>Source/read/map/write model, IR execution.</x:v>
      </x:c>
    </x:row>
    <x:row r="27">
      <x:c r="A27" s="34" t="n">
        <x:v>26</x:v>
      </x:c>
      <x:c r="B27" s="34" t="str">
        <x:v>Connectors, Formats and Capability Matrix</x:v>
      </x:c>
      <x:c r="C27" s="34" t="str">
        <x:v>Ch 6</x:v>
      </x:c>
      <x:c r="D27" s="34" t="str">
        <x:v>Full</x:v>
      </x:c>
      <x:c r="E27" s="34" t="str">
        <x:v>Connector/version-specific capability model.</x:v>
      </x:c>
    </x:row>
    <x:row r="28">
      <x:c r="A28" s="34" t="n">
        <x:v>27</x:v>
      </x:c>
      <x:c r="B28" s="34" t="str">
        <x:v>Schema Mapping and Type Conversion</x:v>
      </x:c>
      <x:c r="C28" s="34" t="str">
        <x:v>Ch 7 — Bad rows, cut-off values and "verified" copies</x:v>
      </x:c>
      <x:c r="D28" s="34" t="str">
        <x:v>Full</x:v>
      </x:c>
      <x:c r="E28" s="34" t="str">
        <x:v>Mapping, type conversion and truncation risks.</x:v>
      </x:c>
    </x:row>
    <x:row r="29">
      <x:c r="A29" s="34" t="n">
        <x:v>28</x:v>
      </x:c>
      <x:c r="B29" s="34" t="str">
        <x:v>Fault Tolerance and Skipped Rows</x:v>
      </x:c>
      <x:c r="C29" s="34" t="str">
        <x:v>Ch 7; Ch 15 — Sensitive data</x:v>
      </x:c>
      <x:c r="D29" s="34" t="str">
        <x:v>Full</x:v>
      </x:c>
      <x:c r="E29" s="34" t="str">
        <x:v>Skipped rows, session logs, operational ownership and security implications.</x:v>
      </x:c>
    </x:row>
    <x:row r="30">
      <x:c r="A30" s="34" t="n">
        <x:v>29</x:v>
      </x:c>
      <x:c r="B30" s="34" t="str">
        <x:v>Data Consistency Verification</x:v>
      </x:c>
      <x:c r="C30" s="34" t="str">
        <x:v>Ch 7; Ch 8 — Proving the migration is complete</x:v>
      </x:c>
      <x:c r="D30" s="34" t="str">
        <x:v>Full</x:v>
      </x:c>
      <x:c r="E30" s="34" t="str">
        <x:v>Verification limits vs business reconciliation.</x:v>
      </x:c>
    </x:row>
    <x:row r="31">
      <x:c r="A31" s="34" t="n">
        <x:v>30</x:v>
      </x:c>
      <x:c r="B31" s="34" t="str">
        <x:v>Staged Copy, Resume and Large File Handling</x:v>
      </x:c>
      <x:c r="C31" s="34" t="str">
        <x:v>Ch 6; Ch 13 — Recovering from failures</x:v>
      </x:c>
      <x:c r="D31" s="34" t="str">
        <x:v>Full</x:v>
      </x:c>
      <x:c r="E31" s="34" t="str">
        <x:v>Staged copy and binary-file resume scope/recovery.</x:v>
      </x:c>
    </x:row>
    <x:row r="32">
      <x:c r="A32" s="34" t="n">
        <x:v>31</x:v>
      </x:c>
      <x:c r="B32" s="34" t="str">
        <x:v>Full Load vs Incremental Load</x:v>
      </x:c>
      <x:c r="C32" s="34" t="str">
        <x:v>Ch 9 — Loading only new data</x:v>
      </x:c>
      <x:c r="D32" s="34" t="str">
        <x:v>Full</x:v>
      </x:c>
      <x:c r="E32" s="34" t="str">
        <x:v>Full vs incremental decision.</x:v>
      </x:c>
    </x:row>
    <x:row r="33">
      <x:c r="A33" s="34" t="n">
        <x:v>32</x:v>
      </x:c>
      <x:c r="B33" s="34" t="str">
        <x:v>Watermark Patterns</x:v>
      </x:c>
      <x:c r="C33" s="34" t="str">
        <x:v>Ch 9</x:v>
      </x:c>
      <x:c r="D33" s="34" t="str">
        <x:v>Full</x:v>
      </x:c>
      <x:c r="E33" s="34" t="str">
        <x:v>Watermarks, high-water marks and delete/late-update limitations.</x:v>
      </x:c>
    </x:row>
    <x:row r="34">
      <x:c r="A34" s="34" t="n">
        <x:v>33</x:v>
      </x:c>
      <x:c r="B34" s="34" t="str">
        <x:v>Change Tracking and CDC</x:v>
      </x:c>
      <x:c r="C34" s="34" t="str">
        <x:v>Ch 9; Ch 10 — Change data capture</x:v>
      </x:c>
      <x:c r="D34" s="34" t="str">
        <x:v>Full</x:v>
      </x:c>
      <x:c r="E34" s="34" t="str">
        <x:v>Change Tracking, CDC and source prerequisites.</x:v>
      </x:c>
    </x:row>
    <x:row r="35">
      <x:c r="A35" s="34" t="n">
        <x:v>34</x:v>
      </x:c>
      <x:c r="B35" s="34" t="str">
        <x:v>CDC Checkpoints and Rename Risk</x:v>
      </x:c>
      <x:c r="C35" s="34" t="str">
        <x:v>Ch 10</x:v>
      </x:c>
      <x:c r="D35" s="34" t="str">
        <x:v>Full</x:v>
      </x:c>
      <x:c r="E35" s="34" t="str">
        <x:v>Current uncertainty and explicit checkpoint-key/change-management treatment.</x:v>
      </x:c>
    </x:row>
    <x:row r="36">
      <x:c r="A36" s="34" t="n">
        <x:v>35</x:v>
      </x:c>
      <x:c r="B36" s="34" t="str">
        <x:v>Metadata-Driven Pipelines</x:v>
      </x:c>
      <x:c r="C36" s="34" t="str">
        <x:v>Ch 2; Ch 3; Ch 9; Ch 19</x:v>
      </x:c>
      <x:c r="D36" s="34" t="str">
        <x:v>Partial</x:v>
      </x:c>
      <x:c r="E36" s="34" t="str">
        <x:v>Ingredients exist across chapters, but the roadmap's explicit metadata-driven framework design exercise is not consolidated.</x:v>
      </x:c>
    </x:row>
    <x:row r="37">
      <x:c r="A37" s="34" t="n">
        <x:v>36</x:v>
      </x:c>
      <x:c r="B37" s="34" t="str">
        <x:v>Mapping Data Flows</x:v>
      </x:c>
      <x:c r="C37" s="34" t="str">
        <x:v>Ch 11 — Transforming data: data flows, schema drift and Delta</x:v>
      </x:c>
      <x:c r="D37" s="34" t="str">
        <x:v>Full</x:v>
      </x:c>
      <x:c r="E37" s="34" t="str">
        <x:v>Mapping Data Flow purpose and alternatives.</x:v>
      </x:c>
    </x:row>
    <x:row r="38">
      <x:c r="A38" s="34" t="n">
        <x:v>37</x:v>
      </x:c>
      <x:c r="B38" s="34" t="str">
        <x:v>Schema Drift and Data Flow Design</x:v>
      </x:c>
      <x:c r="C38" s="34" t="str">
        <x:v>Ch 11</x:v>
      </x:c>
      <x:c r="D38" s="34" t="str">
        <x:v>Full</x:v>
      </x:c>
      <x:c r="E38" s="34" t="str">
        <x:v>Schema drift and schema-evolution decisions.</x:v>
      </x:c>
    </x:row>
    <x:row r="39">
      <x:c r="A39" s="34" t="n">
        <x:v>38</x:v>
      </x:c>
      <x:c r="B39" s="34" t="str">
        <x:v>Reconciliation: Counts, Profiles and Row Fingerprints</x:v>
      </x:c>
      <x:c r="C39" s="34" t="str">
        <x:v>Ch 8 — Proving the migration is complete</x:v>
      </x:c>
      <x:c r="D39" s="34" t="str">
        <x:v>Full</x:v>
      </x:c>
      <x:c r="E39" s="34" t="str">
        <x:v>Five-level reconciliation model.</x:v>
      </x:c>
    </x:row>
    <x:row r="40">
      <x:c r="A40" s="34" t="n">
        <x:v>39</x:v>
      </x:c>
      <x:c r="B40" s="34" t="str">
        <x:v>Assert, Error Rows and Business Rules</x:v>
      </x:c>
      <x:c r="C40" s="34" t="str">
        <x:v>Ch 8</x:v>
      </x:c>
      <x:c r="D40" s="34" t="str">
        <x:v>Full</x:v>
      </x:c>
      <x:c r="E40" s="34" t="str">
        <x:v>Assert/business rules/error paths.</x:v>
      </x:c>
    </x:row>
    <x:row r="41">
      <x:c r="A41" s="34" t="n">
        <x:v>40</x:v>
      </x:c>
      <x:c r="B41" s="34" t="str">
        <x:v>Data Flow Performance Fundamentals</x:v>
      </x:c>
      <x:c r="C41" s="34" t="str">
        <x:v>Ch 17 — Fine-tuning copies and data flows</x:v>
      </x:c>
      <x:c r="D41" s="34" t="str">
        <x:v>Full</x:v>
      </x:c>
      <x:c r="E41" s="34" t="str">
        <x:v>Startup, TTL, partitioning, skew/shuffle concepts and troubleshooting.</x:v>
      </x:c>
    </x:row>
    <x:row r="42">
      <x:c r="A42" s="34" t="n">
        <x:v>41</x:v>
      </x:c>
      <x:c r="B42" s="34" t="str">
        <x:v>Managed Identity, Key Vault and Authentication</x:v>
      </x:c>
      <x:c r="C42" s="34" t="str">
        <x:v>Ch 14; Ch 15</x:v>
      </x:c>
      <x:c r="D42" s="34" t="str">
        <x:v>Full</x:v>
      </x:c>
      <x:c r="E42" s="34" t="str">
        <x:v>Credential patterns and authentication trade-offs.</x:v>
      </x:c>
    </x:row>
    <x:row r="43">
      <x:c r="A43" s="34" t="n">
        <x:v>42</x:v>
      </x:c>
      <x:c r="B43" s="34" t="str">
        <x:v>CMK and Factory Encryption</x:v>
      </x:c>
      <x:c r="C43" s="34" t="str">
        <x:v>Ch 14; Ch 15</x:v>
      </x:c>
      <x:c r="D43" s="34" t="str">
        <x:v>Full</x:v>
      </x:c>
      <x:c r="E43" s="34" t="str">
        <x:v>CMK paths, prerequisites and lifecycle implications.</x:v>
      </x:c>
    </x:row>
    <x:row r="44">
      <x:c r="A44" s="34" t="n">
        <x:v>43</x:v>
      </x:c>
      <x:c r="B44" s="34" t="str">
        <x:v>Trusted Service: Legacy vs Modern</x:v>
      </x:c>
      <x:c r="C44" s="34" t="str">
        <x:v>Ch 14</x:v>
      </x:c>
      <x:c r="D44" s="34" t="str">
        <x:v>Full</x:v>
      </x:c>
      <x:c r="E44" s="34" t="str">
        <x:v>Modern/Legacy trusted-service treatment.</x:v>
      </x:c>
    </x:row>
    <x:row r="45">
      <x:c r="A45" s="34" t="n">
        <x:v>44</x:v>
      </x:c>
      <x:c r="B45" s="34" t="str">
        <x:v>Monitoring, Alerts and Run History</x:v>
      </x:c>
      <x:c r="C45" s="34" t="str">
        <x:v>Ch 12 — Monitoring, failures and reruns</x:v>
      </x:c>
      <x:c r="D45" s="34" t="str">
        <x:v>Full</x:v>
      </x:c>
      <x:c r="E45" s="34" t="str">
        <x:v>Runs, activity runs, diagnostics, alerts and retention.</x:v>
      </x:c>
    </x:row>
    <x:row r="46">
      <x:c r="A46" s="34" t="n">
        <x:v>45</x:v>
      </x:c>
      <x:c r="B46" s="34" t="str">
        <x:v>Operational Logging and Sensitive Data</x:v>
      </x:c>
      <x:c r="C46" s="34" t="str">
        <x:v>Ch 14; Ch 15</x:v>
      </x:c>
      <x:c r="D46" s="34" t="str">
        <x:v>Full</x:v>
      </x:c>
      <x:c r="E46" s="34" t="str">
        <x:v>Secure input/output, session logs, Data Preview and monitoring exposure.</x:v>
      </x:c>
    </x:row>
    <x:row r="47">
      <x:c r="A47" s="34" t="n">
        <x:v>46</x:v>
      </x:c>
      <x:c r="B47" s="34" t="str">
        <x:v>Git Integration and Collaboration</x:v>
      </x:c>
      <x:c r="C47" s="34" t="str">
        <x:v>Ch 18 — From Dev to Prod</x:v>
      </x:c>
      <x:c r="D47" s="34" t="str">
        <x:v>Full</x:v>
      </x:c>
      <x:c r="E47" s="34" t="str">
        <x:v>Git, collaboration and environment separation.</x:v>
      </x:c>
    </x:row>
    <x:row r="48">
      <x:c r="A48" s="34" t="n">
        <x:v>47</x:v>
      </x:c>
      <x:c r="B48" s="34" t="str">
        <x:v>ARM Templates and Automated Publishing</x:v>
      </x:c>
      <x:c r="C48" s="34" t="str">
        <x:v>Ch 18</x:v>
      </x:c>
      <x:c r="D48" s="34" t="str">
        <x:v>Full</x:v>
      </x:c>
      <x:c r="E48" s="34" t="str">
        <x:v>adf_publish and automated validation/export routes.</x:v>
      </x:c>
    </x:row>
    <x:row r="49">
      <x:c r="A49" s="34" t="n">
        <x:v>48</x:v>
      </x:c>
      <x:c r="B49" s="34" t="str">
        <x:v>Bicep and Infrastructure as Code</x:v>
      </x:c>
      <x:c r="C49" s="34" t="str">
        <x:v>Ch 18</x:v>
      </x:c>
      <x:c r="D49" s="34" t="str">
        <x:v>Partial</x:v>
      </x:c>
      <x:c r="E49" s="34" t="str">
        <x:v>Bicep is pointed to, but the roadmap's practical provisioning outline is not a full study-guide lesson.</x:v>
      </x:c>
    </x:row>
    <x:row r="50">
      <x:c r="A50" s="34" t="n">
        <x:v>49</x:v>
      </x:c>
      <x:c r="B50" s="34" t="str">
        <x:v>Deployment Parameters, Global Parameters and Trigger Handling</x:v>
      </x:c>
      <x:c r="C50" s="34" t="str">
        <x:v>Ch 18; Ch 12</x:v>
      </x:c>
      <x:c r="D50" s="34" t="str">
        <x:v>Full</x:v>
      </x:c>
      <x:c r="E50" s="34" t="str">
        <x:v>Environment configuration and trigger handling.</x:v>
      </x:c>
    </x:row>
    <x:row r="51">
      <x:c r="A51" s="34" t="n">
        <x:v>50</x:v>
      </x:c>
      <x:c r="B51" s="34" t="str">
        <x:v>Reliability, Idempotency and Recovery</x:v>
      </x:c>
      <x:c r="C51" s="34" t="str">
        <x:v>Ch 13 — Recovering from failures</x:v>
      </x:c>
      <x:c r="D51" s="34" t="str">
        <x:v>Full</x:v>
      </x:c>
      <x:c r="E51" s="34" t="str">
        <x:v>Retries, idempotency, reruns and region/zone recovery.</x:v>
      </x:c>
    </x:row>
    <x:row r="52">
      <x:c r="A52" s="34" t="n">
        <x:v>51</x:v>
      </x:c>
      <x:c r="B52" s="34" t="str">
        <x:v>Copy Performance: DIUs, Parallel Copies and Bottlenecks</x:v>
      </x:c>
      <x:c r="C52" s="34" t="str">
        <x:v>Ch 17</x:v>
      </x:c>
      <x:c r="D52" s="34" t="str">
        <x:v>Full</x:v>
      </x:c>
      <x:c r="E52" s="34" t="str">
        <x:v>Copy bottlenecks, DIUs, parallel copies and throttling.</x:v>
      </x:c>
    </x:row>
    <x:row r="53">
      <x:c r="A53" s="34" t="n">
        <x:v>52</x:v>
      </x:c>
      <x:c r="B53" s="34" t="str">
        <x:v>ADF Cost Model and FinOps</x:v>
      </x:c>
      <x:c r="C53" s="34" t="str">
        <x:v>Ch 16 — Performance and cost</x:v>
      </x:c>
      <x:c r="D53" s="34" t="str">
        <x:v>Full</x:v>
      </x:c>
      <x:c r="E53" s="34" t="str">
        <x:v>Cost drivers, workload estimation and controls.</x:v>
      </x:c>
    </x:row>
    <x:row r="54">
      <x:c r="A54" s="34" t="n">
        <x:v>53</x:v>
      </x:c>
      <x:c r="B54" s="34" t="str">
        <x:v>Scale and Concurrency Trade-offs</x:v>
      </x:c>
      <x:c r="C54" s="34" t="str">
        <x:v>Ch 3; Ch 17</x:v>
      </x:c>
      <x:c r="D54" s="34" t="str">
        <x:v>Partial</x:v>
      </x:c>
      <x:c r="E54" s="34" t="str">
        <x:v>Relevant controls exist but no single consolidated concurrency-budget architecture lesson.</x:v>
      </x:c>
    </x:row>
    <x:row r="55">
      <x:c r="A55" s="34" t="n">
        <x:v>54</x:v>
      </x:c>
      <x:c r="B55" s="34" t="str">
        <x:v>Architecture Trade-offs: ADF vs Databricks vs Synapse</x:v>
      </x:c>
      <x:c r="C55" s="34" t="str">
        <x:v>Ch 1; Ch 11; Ch 20</x:v>
      </x:c>
      <x:c r="D55" s="34" t="str">
        <x:v>Partial</x:v>
      </x:c>
      <x:c r="E55" s="34" t="str">
        <x:v>Decision concepts are distributed; no dedicated ADF/Databricks/Synapse decision matrix.</x:v>
      </x:c>
    </x:row>
    <x:row r="56">
      <x:c r="A56" s="34" t="n">
        <x:v>55</x:v>
      </x:c>
      <x:c r="B56" s="34" t="str">
        <x:v>ADF + Azure Databricks</x:v>
      </x:c>
      <x:c r="C56" s="34" t="str">
        <x:v>Ch 3; Ch 13</x:v>
      </x:c>
      <x:c r="D56" s="34" t="str">
        <x:v>Full</x:v>
      </x:c>
      <x:c r="E56" s="34" t="str">
        <x:v>Notebook activity, parameters, outputs and recovery boundaries.</x:v>
      </x:c>
    </x:row>
    <x:row r="57">
      <x:c r="A57" s="34" t="n">
        <x:v>56</x:v>
      </x:c>
      <x:c r="B57" s="34" t="str">
        <x:v>ADF + Azure Synapse</x:v>
      </x:c>
      <x:c r="C57" s="34" t="str">
        <x:v>Ch 3; Ch 11</x:v>
      </x:c>
      <x:c r="D57" s="34" t="str">
        <x:v>Partial</x:v>
      </x:c>
      <x:c r="E57" s="34" t="str">
        <x:v>Synapse activities are referenced, but there is no dedicated ADF+Synapse architecture study block.</x:v>
      </x:c>
    </x:row>
    <x:row r="58">
      <x:c r="A58" s="34" t="n">
        <x:v>57</x:v>
      </x:c>
      <x:c r="B58" s="34" t="str">
        <x:v>ADF vs Fabric Data Factory in 2026</x:v>
      </x:c>
      <x:c r="C58" s="34" t="str">
        <x:v>Ch 20; Ch 1</x:v>
      </x:c>
      <x:c r="D58" s="34" t="str">
        <x:v>Full</x:v>
      </x:c>
      <x:c r="E58" s="34" t="str">
        <x:v>Current positioning and migration/capability framing.</x:v>
      </x:c>
    </x:row>
    <x:row r="59">
      <x:c r="A59" s="34" t="n">
        <x:v>58</x:v>
      </x:c>
      <x:c r="B59" s="34" t="str">
        <x:v>Enterprise Migration Architecture</x:v>
      </x:c>
      <x:c r="C59" s="34" t="str">
        <x:v>Ch 19; Ch 8; Ch 9; Ch 14; Ch 18; Ch 12; Ch 13</x:v>
      </x:c>
      <x:c r="D59" s="34" t="str">
        <x:v>Partial</x:v>
      </x:c>
      <x:c r="E59" s="34" t="str">
        <x:v>All ingredients exist, but no single end-to-end migration architecture case integrates them.</x:v>
      </x:c>
    </x:row>
    <x:row r="60">
      <x:c r="A60" s="34" t="n">
        <x:v>59</x:v>
      </x:c>
      <x:c r="B60" s="34" t="str">
        <x:v>ADF Interview Scenario Drills</x:v>
      </x:c>
      <x:c r="C60" s="34" t="str">
        <x:v>Ch 21; Scenario set; 10 diagnostic questions</x:v>
      </x:c>
      <x:c r="D60" s="34" t="str">
        <x:v>Full</x:v>
      </x:c>
      <x:c r="E60" s="34" t="str">
        <x:v>Scenario-based practice and diagnostics exist; coverage is broad but varies by scenario depth.</x:v>
      </x:c>
    </x:row>
    <x:row r="61">
      <x:c r="A61" s="34" t="n">
        <x:v>60</x:v>
      </x:c>
      <x:c r="B61" s="34" t="str">
        <x:v>ADF Architecture Review Capstone</x:v>
      </x:c>
      <x:c r="C61" s="34" t="str">
        <x:v>Ch 21; Ch 19; Ch 14; Ch 18; Ch 16-17</x:v>
      </x:c>
      <x:c r="D61" s="34" t="str">
        <x:v>Partial</x:v>
      </x:c>
      <x:c r="E61" s="34" t="str">
        <x:v>Review concepts exist, but there is no explicit end-to-end capstone matching the roadmap evidence item.</x:v>
      </x:c>
    </x:row>
  </x:sheetData>
  <x:conditionalFormatting sqref="D2:D61">
    <x:cfRule type="expression" dxfId="4" priority="1">
      <x:formula>D2="Full"</x:formula>
    </x:cfRule>
    <x:cfRule type="expression" dxfId="5" priority="2">
      <x:formula>D2="Partial"</x:formula>
    </x:cfRule>
  </x:conditionalFormatting>
  <x:pageMargins left="0.7" right="0.7" top="0.75" bottom="0.75" header="0.3" footer="0.3"/>
</x:worksheet>
</file>